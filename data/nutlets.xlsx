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https://d.docs.live.net/fd5b5e0c07c87625/PUBLICACIONES/SCLERIA/Scleria_diversity_ww/data/"/>
    </mc:Choice>
  </mc:AlternateContent>
  <xr:revisionPtr revIDLastSave="165" documentId="11_AD4D2F04E46CFB4ACB3E20B71D96DC8E693EDF08" xr6:coauthVersionLast="47" xr6:coauthVersionMax="47" xr10:uidLastSave="{57840023-E88D-4430-A6F3-65B0D64018AD}"/>
  <bookViews>
    <workbookView xWindow="-120" yWindow="-120" windowWidth="29040" windowHeight="15720" xr2:uid="{00000000-000D-0000-FFFF-FFFF00000000}"/>
  </bookViews>
  <sheets>
    <sheet name="Hoja1" sheetId="1" r:id="rId1"/>
  </sheets>
  <definedNames>
    <definedName name="_xlnm._FilterDatabase" localSheetId="0" hidden="1">Hoja1!$A$1:$I$241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36" i="1" l="1"/>
  <c r="I160" i="1"/>
  <c r="I120" i="1"/>
  <c r="I201" i="1"/>
  <c r="I169" i="1"/>
  <c r="I164" i="1"/>
  <c r="I225" i="1"/>
  <c r="I176" i="1"/>
  <c r="I233" i="1"/>
  <c r="I128" i="1"/>
  <c r="I135" i="1"/>
  <c r="I141" i="1"/>
  <c r="I166" i="1"/>
  <c r="I202" i="1"/>
  <c r="I131" i="1"/>
  <c r="I191" i="1"/>
  <c r="I101" i="1"/>
  <c r="I190" i="1"/>
  <c r="I104" i="1"/>
  <c r="I159" i="1"/>
  <c r="I158" i="1"/>
  <c r="I109" i="1"/>
  <c r="I136" i="1"/>
  <c r="I34" i="1"/>
  <c r="I163" i="1"/>
  <c r="I20" i="1"/>
  <c r="I88" i="1"/>
  <c r="I153" i="1"/>
  <c r="I114" i="1"/>
  <c r="I118" i="1"/>
  <c r="I155" i="1"/>
  <c r="I21" i="1"/>
  <c r="I138" i="1"/>
  <c r="I151" i="1"/>
  <c r="I51" i="1"/>
  <c r="I195" i="1"/>
  <c r="I102" i="1"/>
  <c r="I10" i="1"/>
  <c r="I65" i="1"/>
  <c r="I50" i="1"/>
  <c r="I143" i="1"/>
  <c r="I181" i="1"/>
  <c r="I167" i="1"/>
  <c r="I116" i="1"/>
  <c r="I157" i="1"/>
  <c r="I170" i="1"/>
  <c r="I184" i="1"/>
  <c r="I126" i="1"/>
  <c r="I186" i="1"/>
  <c r="I22" i="1"/>
  <c r="I172" i="1"/>
  <c r="I134" i="1"/>
  <c r="I37" i="1"/>
  <c r="I192" i="1"/>
  <c r="I39" i="1"/>
  <c r="I235" i="1"/>
  <c r="I146" i="1"/>
  <c r="I32" i="1"/>
  <c r="I96" i="1"/>
  <c r="I219" i="1"/>
  <c r="I4" i="1"/>
  <c r="I196" i="1"/>
  <c r="I142" i="1"/>
  <c r="I188" i="1"/>
  <c r="I7" i="1"/>
  <c r="I111" i="1"/>
  <c r="I112" i="1"/>
  <c r="I95" i="1"/>
  <c r="I106" i="1"/>
  <c r="I144" i="1"/>
  <c r="I130" i="1"/>
  <c r="I62" i="1"/>
  <c r="I162" i="1"/>
  <c r="I29" i="1"/>
  <c r="I123" i="1"/>
  <c r="I173" i="1"/>
  <c r="I19" i="1"/>
  <c r="I38" i="1"/>
  <c r="I137" i="1"/>
  <c r="I16" i="1"/>
  <c r="I221" i="1"/>
  <c r="I139" i="1"/>
  <c r="I36" i="1"/>
  <c r="I41" i="1"/>
  <c r="I43" i="1"/>
  <c r="I227" i="1"/>
  <c r="I15" i="1"/>
  <c r="I194" i="1"/>
  <c r="I150" i="1"/>
  <c r="I90" i="1"/>
  <c r="I12" i="1"/>
  <c r="I86" i="1"/>
  <c r="I241" i="1"/>
  <c r="I75" i="1"/>
  <c r="I149" i="1"/>
  <c r="I127" i="1"/>
  <c r="I27" i="1"/>
  <c r="I25" i="1"/>
  <c r="I24" i="1"/>
  <c r="I147" i="1"/>
  <c r="I80" i="1"/>
  <c r="I89" i="1"/>
  <c r="I68" i="1"/>
  <c r="I179" i="1"/>
  <c r="I92" i="1"/>
  <c r="I232" i="1"/>
  <c r="I60" i="1"/>
  <c r="I133" i="1"/>
  <c r="I125" i="1"/>
  <c r="I40" i="1"/>
  <c r="I161" i="1"/>
  <c r="I67" i="1"/>
  <c r="I78" i="1"/>
  <c r="I47" i="1"/>
  <c r="I23" i="1"/>
  <c r="I178" i="1"/>
  <c r="I220" i="1"/>
  <c r="I156" i="1"/>
  <c r="I55" i="1"/>
  <c r="I117" i="1"/>
  <c r="I119" i="1"/>
  <c r="I74" i="1"/>
  <c r="I63" i="1"/>
  <c r="I9" i="1"/>
  <c r="I168" i="1"/>
  <c r="I85" i="1"/>
  <c r="I82" i="1"/>
  <c r="I234" i="1"/>
  <c r="I229" i="1"/>
  <c r="I226" i="1"/>
  <c r="I79" i="1"/>
  <c r="I84" i="1"/>
  <c r="I58" i="1"/>
  <c r="I228" i="1"/>
  <c r="I71" i="1"/>
  <c r="I11" i="1"/>
  <c r="I108" i="1"/>
  <c r="I238" i="1"/>
  <c r="I113" i="1"/>
  <c r="I174" i="1"/>
  <c r="I44" i="1"/>
  <c r="I33" i="1"/>
  <c r="I100" i="1"/>
  <c r="I107" i="1"/>
  <c r="I175" i="1"/>
  <c r="I42" i="1"/>
  <c r="I35" i="1"/>
  <c r="I97" i="1"/>
  <c r="I103" i="1"/>
  <c r="I94" i="1"/>
  <c r="I183" i="1"/>
  <c r="I52" i="1"/>
  <c r="I8" i="1"/>
  <c r="I121" i="1"/>
  <c r="I152" i="1"/>
  <c r="I3" i="1"/>
  <c r="I30" i="1"/>
  <c r="I185" i="1"/>
  <c r="I132" i="1"/>
  <c r="I204" i="1"/>
  <c r="I18" i="1"/>
  <c r="I129" i="1"/>
  <c r="I105" i="1"/>
  <c r="I180" i="1"/>
  <c r="I122" i="1"/>
  <c r="I26" i="1"/>
  <c r="I99" i="1"/>
  <c r="I14" i="1"/>
  <c r="I205" i="1"/>
  <c r="I148" i="1"/>
  <c r="I140" i="1"/>
  <c r="I115" i="1"/>
  <c r="I203" i="1"/>
  <c r="I6" i="1"/>
  <c r="I56" i="1"/>
  <c r="I28" i="1"/>
  <c r="I31" i="1"/>
  <c r="I61" i="1"/>
  <c r="I154" i="1"/>
  <c r="I98" i="1"/>
  <c r="I165" i="1"/>
  <c r="I197" i="1"/>
  <c r="I237" i="1"/>
  <c r="I198" i="1"/>
  <c r="I222" i="1"/>
  <c r="I69" i="1"/>
  <c r="I17" i="1"/>
  <c r="I239" i="1"/>
  <c r="I230" i="1"/>
  <c r="I145" i="1"/>
  <c r="I64" i="1"/>
  <c r="I81" i="1"/>
  <c r="I13" i="1"/>
  <c r="I77" i="1"/>
  <c r="I54" i="1"/>
  <c r="I182" i="1"/>
  <c r="I171" i="1"/>
  <c r="I70" i="1"/>
  <c r="I46" i="1"/>
  <c r="I57" i="1"/>
  <c r="I66" i="1"/>
  <c r="I189" i="1"/>
  <c r="I91" i="1"/>
  <c r="I48" i="1"/>
  <c r="I87" i="1"/>
  <c r="I224" i="1"/>
  <c r="I73" i="1"/>
  <c r="I187" i="1"/>
  <c r="I83" i="1"/>
  <c r="I72" i="1"/>
  <c r="I93" i="1"/>
  <c r="I59" i="1"/>
  <c r="I49" i="1"/>
  <c r="I231" i="1"/>
  <c r="I53" i="1"/>
  <c r="I2" i="1"/>
  <c r="I124" i="1"/>
  <c r="H160" i="1"/>
  <c r="H120" i="1"/>
  <c r="H201" i="1"/>
  <c r="H169" i="1"/>
  <c r="H164" i="1"/>
  <c r="H225" i="1"/>
  <c r="H176" i="1"/>
  <c r="H233" i="1"/>
  <c r="H128" i="1"/>
  <c r="H135" i="1"/>
  <c r="H141" i="1"/>
  <c r="H166" i="1"/>
  <c r="H202" i="1"/>
  <c r="H131" i="1"/>
  <c r="H191" i="1"/>
  <c r="H101" i="1"/>
  <c r="H190" i="1"/>
  <c r="H104" i="1"/>
  <c r="H159" i="1"/>
  <c r="H158" i="1"/>
  <c r="H109" i="1"/>
  <c r="H136" i="1"/>
  <c r="H34" i="1"/>
  <c r="H163" i="1"/>
  <c r="H20" i="1"/>
  <c r="H88" i="1"/>
  <c r="H153" i="1"/>
  <c r="H114" i="1"/>
  <c r="H118" i="1"/>
  <c r="H155" i="1"/>
  <c r="H21" i="1"/>
  <c r="H138" i="1"/>
  <c r="H151" i="1"/>
  <c r="H51" i="1"/>
  <c r="H195" i="1"/>
  <c r="H102" i="1"/>
  <c r="H10" i="1"/>
  <c r="H65" i="1"/>
  <c r="H50" i="1"/>
  <c r="H143" i="1"/>
  <c r="H181" i="1"/>
  <c r="H167" i="1"/>
  <c r="H116" i="1"/>
  <c r="H157" i="1"/>
  <c r="H170" i="1"/>
  <c r="H184" i="1"/>
  <c r="H126" i="1"/>
  <c r="H186" i="1"/>
  <c r="H22" i="1"/>
  <c r="H172" i="1"/>
  <c r="H134" i="1"/>
  <c r="H37" i="1"/>
  <c r="H192" i="1"/>
  <c r="H39" i="1"/>
  <c r="H235" i="1"/>
  <c r="H146" i="1"/>
  <c r="H32" i="1"/>
  <c r="H96" i="1"/>
  <c r="H219" i="1"/>
  <c r="H4" i="1"/>
  <c r="H196" i="1"/>
  <c r="H142" i="1"/>
  <c r="H188" i="1"/>
  <c r="H7" i="1"/>
  <c r="H111" i="1"/>
  <c r="H112" i="1"/>
  <c r="H95" i="1"/>
  <c r="H106" i="1"/>
  <c r="H144" i="1"/>
  <c r="H130" i="1"/>
  <c r="H62" i="1"/>
  <c r="H162" i="1"/>
  <c r="H29" i="1"/>
  <c r="H123" i="1"/>
  <c r="H173" i="1"/>
  <c r="H19" i="1"/>
  <c r="H38" i="1"/>
  <c r="H137" i="1"/>
  <c r="H16" i="1"/>
  <c r="H221" i="1"/>
  <c r="H139" i="1"/>
  <c r="H36" i="1"/>
  <c r="H41" i="1"/>
  <c r="H43" i="1"/>
  <c r="H227" i="1"/>
  <c r="H15" i="1"/>
  <c r="H194" i="1"/>
  <c r="H150" i="1"/>
  <c r="H90" i="1"/>
  <c r="H12" i="1"/>
  <c r="H86" i="1"/>
  <c r="H241" i="1"/>
  <c r="H75" i="1"/>
  <c r="H149" i="1"/>
  <c r="H127" i="1"/>
  <c r="H27" i="1"/>
  <c r="H25" i="1"/>
  <c r="H24" i="1"/>
  <c r="H147" i="1"/>
  <c r="H80" i="1"/>
  <c r="H89" i="1"/>
  <c r="H68" i="1"/>
  <c r="H179" i="1"/>
  <c r="H92" i="1"/>
  <c r="H232" i="1"/>
  <c r="H60" i="1"/>
  <c r="H133" i="1"/>
  <c r="H125" i="1"/>
  <c r="H40" i="1"/>
  <c r="H161" i="1"/>
  <c r="H67" i="1"/>
  <c r="H78" i="1"/>
  <c r="H47" i="1"/>
  <c r="H23" i="1"/>
  <c r="H178" i="1"/>
  <c r="H220" i="1"/>
  <c r="H156" i="1"/>
  <c r="H55" i="1"/>
  <c r="H117" i="1"/>
  <c r="H119" i="1"/>
  <c r="H74" i="1"/>
  <c r="H63" i="1"/>
  <c r="H9" i="1"/>
  <c r="H168" i="1"/>
  <c r="H85" i="1"/>
  <c r="H82" i="1"/>
  <c r="H234" i="1"/>
  <c r="H229" i="1"/>
  <c r="H226" i="1"/>
  <c r="H79" i="1"/>
  <c r="H84" i="1"/>
  <c r="H58" i="1"/>
  <c r="H228" i="1"/>
  <c r="H71" i="1"/>
  <c r="H11" i="1"/>
  <c r="H108" i="1"/>
  <c r="H238" i="1"/>
  <c r="H113" i="1"/>
  <c r="H174" i="1"/>
  <c r="H236" i="1"/>
  <c r="H44" i="1"/>
  <c r="H33" i="1"/>
  <c r="H100" i="1"/>
  <c r="H107" i="1"/>
  <c r="H175" i="1"/>
  <c r="H42" i="1"/>
  <c r="H35" i="1"/>
  <c r="H97" i="1"/>
  <c r="H103" i="1"/>
  <c r="H94" i="1"/>
  <c r="H183" i="1"/>
  <c r="H52" i="1"/>
  <c r="H8" i="1"/>
  <c r="H121" i="1"/>
  <c r="H152" i="1"/>
  <c r="H3" i="1"/>
  <c r="H30" i="1"/>
  <c r="H185" i="1"/>
  <c r="H132" i="1"/>
  <c r="H204" i="1"/>
  <c r="H18" i="1"/>
  <c r="H129" i="1"/>
  <c r="H105" i="1"/>
  <c r="H180" i="1"/>
  <c r="H122" i="1"/>
  <c r="H26" i="1"/>
  <c r="H99" i="1"/>
  <c r="H14" i="1"/>
  <c r="H205" i="1"/>
  <c r="H148" i="1"/>
  <c r="H140" i="1"/>
  <c r="H115" i="1"/>
  <c r="H203" i="1"/>
  <c r="H6" i="1"/>
  <c r="H56" i="1"/>
  <c r="H28" i="1"/>
  <c r="H31" i="1"/>
  <c r="H61" i="1"/>
  <c r="H154" i="1"/>
  <c r="H98" i="1"/>
  <c r="H165" i="1"/>
  <c r="H197" i="1"/>
  <c r="H237" i="1"/>
  <c r="H198" i="1"/>
  <c r="H222" i="1"/>
  <c r="H69" i="1"/>
  <c r="H17" i="1"/>
  <c r="H239" i="1"/>
  <c r="H230" i="1"/>
  <c r="H145" i="1"/>
  <c r="H64" i="1"/>
  <c r="H81" i="1"/>
  <c r="H13" i="1"/>
  <c r="H77" i="1"/>
  <c r="H54" i="1"/>
  <c r="H182" i="1"/>
  <c r="H171" i="1"/>
  <c r="H70" i="1"/>
  <c r="H46" i="1"/>
  <c r="H57" i="1"/>
  <c r="H66" i="1"/>
  <c r="H189" i="1"/>
  <c r="H91" i="1"/>
  <c r="H48" i="1"/>
  <c r="H87" i="1"/>
  <c r="H224" i="1"/>
  <c r="H73" i="1"/>
  <c r="H187" i="1"/>
  <c r="H83" i="1"/>
  <c r="H72" i="1"/>
  <c r="H93" i="1"/>
  <c r="H59" i="1"/>
  <c r="H49" i="1"/>
  <c r="H231" i="1"/>
  <c r="H53" i="1"/>
  <c r="H2" i="1"/>
  <c r="H124" i="1"/>
</calcChain>
</file>

<file path=xl/sharedStrings.xml><?xml version="1.0" encoding="utf-8"?>
<sst xmlns="http://schemas.openxmlformats.org/spreadsheetml/2006/main" count="943" uniqueCount="255">
  <si>
    <t xml:space="preserve">scientific_name </t>
  </si>
  <si>
    <t>type_ornamentation</t>
  </si>
  <si>
    <t>Scleria acanthocarpa Boeckeler</t>
  </si>
  <si>
    <t>verrucose</t>
  </si>
  <si>
    <t>yes</t>
  </si>
  <si>
    <t>Scleria achtenii De Wild.</t>
  </si>
  <si>
    <t>smooth</t>
  </si>
  <si>
    <t>Scleria adpressohirta (Kük.) E.A.Rob.</t>
  </si>
  <si>
    <t>no</t>
  </si>
  <si>
    <t>Scleria afroreflexa Lye</t>
  </si>
  <si>
    <t>reticulated</t>
  </si>
  <si>
    <t>Scleria alpina Core</t>
  </si>
  <si>
    <t>rugose</t>
  </si>
  <si>
    <t>Scleria amazonica Camelb., M.T.Strong &amp; Goetgh.</t>
  </si>
  <si>
    <t>Scleria anceps Liebm.</t>
  </si>
  <si>
    <t>Scleria andringitrensis Cherm.</t>
  </si>
  <si>
    <t>Scleria angusta Nees ex Kunth</t>
  </si>
  <si>
    <t>Scleria angustifolia E.A.Rob.</t>
  </si>
  <si>
    <t>Scleria ankaratrensis Bauters</t>
  </si>
  <si>
    <t>Scleria annularis Steud.</t>
  </si>
  <si>
    <t>Scleria anomala (Steud.) J.Raynal</t>
  </si>
  <si>
    <t>Scleria arcuata E.A.Rob.</t>
  </si>
  <si>
    <t>Scleria arguta (Nees) Steud.</t>
  </si>
  <si>
    <t>Scleria aromatica Core</t>
  </si>
  <si>
    <t>Scleria assamica (C.B.Clarke) D.M.Verma</t>
  </si>
  <si>
    <t>Scleria atroglumis D.A.Simpson</t>
  </si>
  <si>
    <t>Scleria attenuatifolia M.T.Strong</t>
  </si>
  <si>
    <t>Scleria aurantiaca Lye</t>
  </si>
  <si>
    <t>Scleria aureovillosa Kiaos. &amp; K.Wangwasit</t>
  </si>
  <si>
    <t>Scleria balansae Maury ex Micheli</t>
  </si>
  <si>
    <t>Scleria baldwinii (Torr.) Steud.</t>
  </si>
  <si>
    <t>Scleria bambariensis Cherm.</t>
  </si>
  <si>
    <t>Scleria baroni-clarkei De Wild.</t>
  </si>
  <si>
    <t>Scleria baronii C.B.Clarke ex Cherm.</t>
  </si>
  <si>
    <t>Scleria bellii LeBlond</t>
  </si>
  <si>
    <t>Scleria benthamii C.B.Clarke</t>
  </si>
  <si>
    <t>Scleria bequaertii De Wild.</t>
  </si>
  <si>
    <t>Scleria biflora Roxb.</t>
  </si>
  <si>
    <t>Scleria boivinii Steud.</t>
  </si>
  <si>
    <t>Scleria boniana Boeckeler</t>
  </si>
  <si>
    <t>Scleria borii D.M.Verma</t>
  </si>
  <si>
    <t>Scleria bourgeaui Boeckeler</t>
  </si>
  <si>
    <t>Scleria bracteata Cav.</t>
  </si>
  <si>
    <t>Scleria bradei Gross</t>
  </si>
  <si>
    <t>Scleria brownii Kunth</t>
  </si>
  <si>
    <t>Scleria bulbifera Hochst. ex A.Rich.</t>
  </si>
  <si>
    <t>Scleria burchellii C.B.Clarke</t>
  </si>
  <si>
    <t>Scleria calcicola E.A.Rob.</t>
  </si>
  <si>
    <t>Scleria canescens Boeckeler</t>
  </si>
  <si>
    <t>Scleria carphiformis Ridl.</t>
  </si>
  <si>
    <t>Scleria castanea Core</t>
  </si>
  <si>
    <t>Scleria catophylla C.B.Clarke</t>
  </si>
  <si>
    <t>Scleria chasmema Bonet Mayedo &amp; W.W.Thomas</t>
  </si>
  <si>
    <t>Scleria cheekii Bauters</t>
  </si>
  <si>
    <t>Scleria chevalieri J.Raynal</t>
  </si>
  <si>
    <t>Scleria chlorantha Boeckeler</t>
  </si>
  <si>
    <t>Scleria chlorocalyx E.A.Rob.</t>
  </si>
  <si>
    <t>Scleria ciliaris Nees</t>
  </si>
  <si>
    <t>Scleria ciliata Michx.</t>
  </si>
  <si>
    <t>Scleria clarkei Lindm.</t>
  </si>
  <si>
    <t>Scleria clathrata Hochst. ex A.Rich.</t>
  </si>
  <si>
    <t>Scleria colorata Core</t>
  </si>
  <si>
    <t>Scleria comosa (Nees) Steud.</t>
  </si>
  <si>
    <t>Scleria composita (Nees) Boeckeler</t>
  </si>
  <si>
    <t>Scleria corymbosa Roxb.</t>
  </si>
  <si>
    <t>Scleria cuyabensis Pilg.</t>
  </si>
  <si>
    <t>Scleria cyathophora Holttum</t>
  </si>
  <si>
    <t>Scleria cyperina Kunth</t>
  </si>
  <si>
    <t>Scleria delicatula Nelmes</t>
  </si>
  <si>
    <t>Scleria densispicata (C.B.Clarke) J.Kern</t>
  </si>
  <si>
    <t>Scleria depressa (C.B.Clarke) Nelmes</t>
  </si>
  <si>
    <t>Scleria didina Bonet Mayedo &amp; W.W.Thomas</t>
  </si>
  <si>
    <t>Scleria distans Poir.</t>
  </si>
  <si>
    <t>Scleria dregeana Kunth</t>
  </si>
  <si>
    <t>Scleria dulungensis P.C.Li</t>
  </si>
  <si>
    <t>Scleria eggersiana Boeckeler</t>
  </si>
  <si>
    <t>Scleria erythrorrhiza Ridl.</t>
  </si>
  <si>
    <t>Scleria filiculmis Boeckeler</t>
  </si>
  <si>
    <t>Scleria flagellum-nigrorum P.J.Bergius</t>
  </si>
  <si>
    <t>Scleria flexuosa Boeckeler</t>
  </si>
  <si>
    <t>Scleria foliosa Hochst. ex A.Rich.</t>
  </si>
  <si>
    <t>Scleria foveolata Cav.</t>
  </si>
  <si>
    <t>Scleria fulvipilosa E.A.Rob.</t>
  </si>
  <si>
    <t>Scleria gaertneri Raddi</t>
  </si>
  <si>
    <t>Scleria georgiana Core</t>
  </si>
  <si>
    <t>Scleria glabra Boeckeler</t>
  </si>
  <si>
    <t>Scleria globonux C.B.Clarke</t>
  </si>
  <si>
    <t>Scleria glomerulata Oliv.</t>
  </si>
  <si>
    <t>Scleria goossensii De Wild.</t>
  </si>
  <si>
    <t>Scleria gracillima Boeckeler</t>
  </si>
  <si>
    <t>Scleria greigiifolia (Ridl.) C.B.Clarke</t>
  </si>
  <si>
    <t>Scleria harlandii Hance</t>
  </si>
  <si>
    <t>Scleria havanensis Britton</t>
  </si>
  <si>
    <t>Scleria hildebrandtii Boeckeler</t>
  </si>
  <si>
    <t>Scleria hilsenbergii Ridl.</t>
  </si>
  <si>
    <t>Scleria hirta Boeckeler</t>
  </si>
  <si>
    <t>Scleria hirtella Sw.</t>
  </si>
  <si>
    <t>Scleria hispidior (C.B.Clarke) Nelmes</t>
  </si>
  <si>
    <t>Scleria hispidula Hochst. ex A.Rich.</t>
  </si>
  <si>
    <t>Scleria huberi C.B.Clarke</t>
  </si>
  <si>
    <t>Scleria induta Turrill</t>
  </si>
  <si>
    <t>Scleria interrupta Rich.</t>
  </si>
  <si>
    <t>Scleria iostephana Nelmes</t>
  </si>
  <si>
    <t>Scleria jiangchengensis Y.Y.Qian</t>
  </si>
  <si>
    <t>Scleria junghuhniana Boeckeler</t>
  </si>
  <si>
    <t>Scleria kerrii Turrill</t>
  </si>
  <si>
    <t>Scleria lacustris C.Wright</t>
  </si>
  <si>
    <t>Scleria lagoensis Boeckeler</t>
  </si>
  <si>
    <t>Scleria lateritica Nelmes</t>
  </si>
  <si>
    <t>Scleria latifolia Sw.</t>
  </si>
  <si>
    <t>Scleria laxa R.Br.</t>
  </si>
  <si>
    <t>Scleria laxiflora Gross</t>
  </si>
  <si>
    <t>Scleria leptostachya Kunth</t>
  </si>
  <si>
    <t>Scleria levis Retz.</t>
  </si>
  <si>
    <t>Scleria liberica Bauters</t>
  </si>
  <si>
    <t>Scleria lingulata C.B.Clarke</t>
  </si>
  <si>
    <t>Scleria lithosperma (L.) Sw.</t>
  </si>
  <si>
    <t>Scleria longispiculata Nelmes</t>
  </si>
  <si>
    <t>Scleria lucentinigricans E.A.Rob.</t>
  </si>
  <si>
    <t>Scleria macbrideana Gross</t>
  </si>
  <si>
    <t>Scleria mackaviensis Boeckeler</t>
  </si>
  <si>
    <t>Scleria macrogyne C.B.Clarke</t>
  </si>
  <si>
    <t>Scleria macrolomioides H.Pfeiff.</t>
  </si>
  <si>
    <t>Scleria macrophylla J.Presl &amp; C.Presl</t>
  </si>
  <si>
    <t>Scleria madagascariensis Boeckeler</t>
  </si>
  <si>
    <t>Scleria martii (Nees) Steud.</t>
  </si>
  <si>
    <t>Scleria maypurensis Bauters</t>
  </si>
  <si>
    <t>Scleria melanomphala Kunth</t>
  </si>
  <si>
    <t>Scleria melanotricha Hochst. &amp; A.Rich.</t>
  </si>
  <si>
    <t>Scleria microcarpa Nees ex Kunth</t>
  </si>
  <si>
    <t>Scleria mikawana Makino</t>
  </si>
  <si>
    <t>Scleria minor (Britton) W.Stone</t>
  </si>
  <si>
    <t>Scleria mitis P.J.Bergius</t>
  </si>
  <si>
    <t>Scleria mongomoensis Bauters</t>
  </si>
  <si>
    <t>Scleria motleyi C.B.Clarke</t>
  </si>
  <si>
    <t>Scleria mucronata Poir.</t>
  </si>
  <si>
    <t>Scleria muehlenbergii Steud.</t>
  </si>
  <si>
    <t>Scleria myricocarpa Kunth</t>
  </si>
  <si>
    <t>Scleria natalensis Boeckeler ex C.B.Clarke</t>
  </si>
  <si>
    <t>Scleria naumanniana Boeckeler</t>
  </si>
  <si>
    <t>Scleria neesii Kunth</t>
  </si>
  <si>
    <t>Scleria neocaledonica Rendle</t>
  </si>
  <si>
    <t>Scleria neogranatensis C.B.Clarke</t>
  </si>
  <si>
    <t>Scleria novae-hollandiae Boeckeler</t>
  </si>
  <si>
    <t>Scleria nusbaumeri Bauters</t>
  </si>
  <si>
    <t>Scleria nyasensis C.B.Clarke</t>
  </si>
  <si>
    <t>Scleria oblata S.T.Blake ex J.Kern</t>
  </si>
  <si>
    <t>Scleria obtusa Core</t>
  </si>
  <si>
    <t>Scleria oligantha Michx.</t>
  </si>
  <si>
    <t>Scleria oligochondra Nelmes</t>
  </si>
  <si>
    <t>Scleria orchardii C.D.Adams</t>
  </si>
  <si>
    <t>Scleria ovinux J.Raynal ex Fosberg</t>
  </si>
  <si>
    <t>Scleria pachyrrhyncha Nelmes</t>
  </si>
  <si>
    <t>Scleria panicoides Kunth</t>
  </si>
  <si>
    <t>Scleria pantadenia Meganck &amp; Bauters</t>
  </si>
  <si>
    <t>Scleria papuana J.Kern</t>
  </si>
  <si>
    <t>Scleria parallella C.B.Clarke</t>
  </si>
  <si>
    <t>Scleria parvula Steud.</t>
  </si>
  <si>
    <t>Scleria patula E.A.Rob.</t>
  </si>
  <si>
    <t>Scleria pauciflora Muhl. ex Willd.</t>
  </si>
  <si>
    <t>Scleria paupercula E.A.Rob.</t>
  </si>
  <si>
    <t>Scleria pedicellata Bauters</t>
  </si>
  <si>
    <t>Scleria pergracilis (Nees) Kunth</t>
  </si>
  <si>
    <t>Scleria perpusilla Cherm.</t>
  </si>
  <si>
    <t>Scleria pilosa Boeckeler</t>
  </si>
  <si>
    <t>Scleria pilosissima Britton</t>
  </si>
  <si>
    <t>Scleria plusiophylla Steud.</t>
  </si>
  <si>
    <t>Scleria poiformis Retz.</t>
  </si>
  <si>
    <t>Scleria polycarpa Boeckeler</t>
  </si>
  <si>
    <t>Scleria polyrrhiza E.A.Rob.</t>
  </si>
  <si>
    <t>Scleria pooides Ridl.</t>
  </si>
  <si>
    <t>Scleria porphyrocarpa E.A.Rob.</t>
  </si>
  <si>
    <t>Scleria procumbens E.A.Rob.</t>
  </si>
  <si>
    <t>Scleria pseudohispidior Bauters</t>
  </si>
  <si>
    <t>Scleria psilorrhiza C.B.Clarke</t>
  </si>
  <si>
    <t>Scleria pulchella Ridl.</t>
  </si>
  <si>
    <t>Scleria purdiei C.B.Clarke</t>
  </si>
  <si>
    <t>Scleria purpurascens Steud.</t>
  </si>
  <si>
    <t>Scleria pusilla Pilg.</t>
  </si>
  <si>
    <t>Scleria racemosa Poir.</t>
  </si>
  <si>
    <t>Scleria radula Hance</t>
  </si>
  <si>
    <t>Scleria ramosa C.B.Clarke</t>
  </si>
  <si>
    <t>Scleria rehmannii C.B.Clarke</t>
  </si>
  <si>
    <t>Scleria remota Ridl.</t>
  </si>
  <si>
    <t>Scleria reticularis Michx.</t>
  </si>
  <si>
    <t>Scleria richardsiae E.A.Rob.</t>
  </si>
  <si>
    <t>Scleria robinsoniana J.Raynal</t>
  </si>
  <si>
    <t>Scleria robusta Camelb. &amp; Goetgh.</t>
  </si>
  <si>
    <t>Scleria rosea Cherm.</t>
  </si>
  <si>
    <t>Scleria rubrostriata A.C.Araújo &amp; N.A.Brummitt</t>
  </si>
  <si>
    <t>Scleria rugosa R.Br.</t>
  </si>
  <si>
    <t>Scleria rutenbergiana Boeckeler</t>
  </si>
  <si>
    <t>Scleria scabra Willd.</t>
  </si>
  <si>
    <t>Scleria scabriuscula Schltdl.</t>
  </si>
  <si>
    <t>Scleria schimperiana Boeckeler</t>
  </si>
  <si>
    <t>Scleria scrobiculata Nees &amp; Meyen</t>
  </si>
  <si>
    <t>Scleria secans (L.) Urb.</t>
  </si>
  <si>
    <t>Scleria sellowiana Kunth</t>
  </si>
  <si>
    <t>Scleria setulosociliata Boeckeler</t>
  </si>
  <si>
    <t>Scleria sheilae J.Raynal</t>
  </si>
  <si>
    <t>Scleria sieberi Nees ex Kunth</t>
  </si>
  <si>
    <t>Scleria skutchii M.T.Strong &amp; J.R.Grant</t>
  </si>
  <si>
    <t>Scleria sobolifera E.F.Franklin</t>
  </si>
  <si>
    <t>Scleria sororia Kunth</t>
  </si>
  <si>
    <t>Scleria sphacelata F.Muell.</t>
  </si>
  <si>
    <t>Scleria spicata (Spreng.) J.F.Macbr.</t>
  </si>
  <si>
    <t>Scleria spiciformis Benth.</t>
  </si>
  <si>
    <t>Scleria splitgerberiana Henrard ex Uittien</t>
  </si>
  <si>
    <t>Scleria sprucei C.B.Clarke</t>
  </si>
  <si>
    <t>Scleria staheliana Uittien</t>
  </si>
  <si>
    <t>Scleria stipitata Uittien</t>
  </si>
  <si>
    <t>Scleria stipularis Nees</t>
  </si>
  <si>
    <t>Scleria stocksiana Boeckeler</t>
  </si>
  <si>
    <t>Scleria suaveolens Nelmes</t>
  </si>
  <si>
    <t>Scleria sumatrensis Retz.</t>
  </si>
  <si>
    <t>Scleria tenacissima (Nees) Steud.</t>
  </si>
  <si>
    <t>Scleria tenella Kunth</t>
  </si>
  <si>
    <t>Scleria tepuiensis Core</t>
  </si>
  <si>
    <t>Scleria terrestris (L.) Fassett</t>
  </si>
  <si>
    <t>Scleria tessellata Willd.</t>
  </si>
  <si>
    <t>Scleria testacea Nees ex Kunth</t>
  </si>
  <si>
    <t>Scleria thwaitesiana Boeckeler</t>
  </si>
  <si>
    <t>Scleria tonkinensis C.B.Clarke</t>
  </si>
  <si>
    <t>Scleria transvaalensis E.F.Franklin</t>
  </si>
  <si>
    <t>Scleria trialata Poir.</t>
  </si>
  <si>
    <t>Scleria tricholepis Nelmes</t>
  </si>
  <si>
    <t>Scleria tricristata Meganck &amp; Bauters</t>
  </si>
  <si>
    <t>Scleria tricuspidata S.T.Blake</t>
  </si>
  <si>
    <t>Scleria triglomerata Michx.</t>
  </si>
  <si>
    <t>Scleria triquetra M.T.Strong</t>
  </si>
  <si>
    <t>Scleria tropicalis M.T.Strong</t>
  </si>
  <si>
    <t>Scleria uleana Boeckeler</t>
  </si>
  <si>
    <t>Scleria unguiculata E.A.Rob.</t>
  </si>
  <si>
    <t>Scleria vaginata Steud.</t>
  </si>
  <si>
    <t>Scleria variegata (Nees) Steud.</t>
  </si>
  <si>
    <t>Scleria verrucosa Willd.</t>
  </si>
  <si>
    <t>Scleria verticillata Muhl. ex Willd.</t>
  </si>
  <si>
    <t>Scleria veseyfitzgeraldii E.A.Rob.</t>
  </si>
  <si>
    <t>Scleria violacea Pilg.</t>
  </si>
  <si>
    <t>Scleria virgata (Nees) Steud.</t>
  </si>
  <si>
    <t>Scleria vogelii C.B.Clarke</t>
  </si>
  <si>
    <t>Scleria warmingiana Boeckeler</t>
  </si>
  <si>
    <t>Scleria welwitschii C.B.Clarke</t>
  </si>
  <si>
    <t>Scleria williamsii Gross</t>
  </si>
  <si>
    <t>Scleria woodii C.B.Clarke</t>
  </si>
  <si>
    <t>Scleria wrightiana Boeckeler</t>
  </si>
  <si>
    <t>Scleria xerophila E.A.Rob.</t>
  </si>
  <si>
    <t>Scleria zambesica E.A.Rob.</t>
  </si>
  <si>
    <t>hairy</t>
  </si>
  <si>
    <t>length</t>
  </si>
  <si>
    <t>width</t>
  </si>
  <si>
    <t>weight</t>
  </si>
  <si>
    <t>ornamented</t>
  </si>
  <si>
    <t>shape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</si>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</sst>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2" fontId="2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1"/>
  <sheetViews>
    <sheetView tabSelected="1" workbookViewId="0">
      <pane ySplit="1" topLeftCell="A223" activePane="bottomLeft" state="frozen"/>
      <selection pane="bottomLeft" activeCell="C245" sqref="C245"/>
    </sheetView>
  </sheetViews>
  <sheetFormatPr baseColWidth="10" defaultColWidth="9.140625" defaultRowHeight="15" x14ac:dyDescent="0.25"/>
  <cols>
    <col min="1" max="1" width="44.85546875" style="1" bestFit="1" customWidth="1"/>
    <col min="2" max="2" width="24.28515625" style="2" bestFit="1" customWidth="1"/>
    <col min="3" max="3" width="16.7109375" style="2" bestFit="1" customWidth="1"/>
    <col min="4" max="4" width="10.140625" style="2" bestFit="1" customWidth="1"/>
    <col min="5" max="5" width="11.42578125" style="3" bestFit="1" customWidth="1"/>
    <col min="6" max="6" width="10.5703125" style="3" bestFit="1" customWidth="1"/>
    <col min="7" max="7" width="11.7109375" style="3" bestFit="1" customWidth="1"/>
    <col min="8" max="8" width="12" style="3" bestFit="1" customWidth="1"/>
    <col min="9" max="9" width="12.42578125" style="3" bestFit="1" customWidth="1"/>
  </cols>
  <sheetData>
    <row r="1" spans="1:9" x14ac:dyDescent="0.25">
      <c r="A1" s="4" t="s">
        <v>0</v>
      </c>
      <c r="B1" s="5" t="s">
        <v>1</v>
      </c>
      <c r="C1" s="5" t="s">
        <v>252</v>
      </c>
      <c r="D1" s="5" t="s">
        <v>248</v>
      </c>
      <c r="E1" s="6" t="s">
        <v>249</v>
      </c>
      <c r="F1" s="6" t="s">
        <v>250</v>
      </c>
      <c r="G1" s="6" t="s">
        <v>251</v>
      </c>
      <c r="H1" s="6" t="s">
        <v>253</v>
      </c>
      <c r="I1" s="6" t="s">
        <v>254</v>
      </c>
    </row>
    <row r="2" spans="1:9" x14ac:dyDescent="0.25">
      <c r="A2" s="1" t="s">
        <v>9</v>
      </c>
      <c r="B2" s="2" t="s">
        <v>10</v>
      </c>
      <c r="C2" s="2" t="s">
        <v>4</v>
      </c>
      <c r="D2" s="2" t="s">
        <v>8</v>
      </c>
      <c r="E2" s="3">
        <v>1</v>
      </c>
      <c r="F2" s="3">
        <v>0.75</v>
      </c>
      <c r="H2" s="3">
        <f>VAR(E2/MAX(E2:F2), F2/MAX(E2:F2))</f>
        <v>3.125E-2</v>
      </c>
      <c r="I2" s="3">
        <f>4/3 * 3.14 * E2*F2*F2</f>
        <v>2.3549999999999995</v>
      </c>
    </row>
    <row r="3" spans="1:9" x14ac:dyDescent="0.25">
      <c r="A3" s="1" t="s">
        <v>13</v>
      </c>
      <c r="B3" s="2" t="s">
        <v>10</v>
      </c>
      <c r="C3" s="2" t="s">
        <v>4</v>
      </c>
      <c r="D3" s="2" t="s">
        <v>8</v>
      </c>
      <c r="E3" s="3">
        <v>2.87</v>
      </c>
      <c r="F3" s="3">
        <v>2.38</v>
      </c>
      <c r="H3" s="3">
        <f>VAR(E3/MAX(E3:F3), F3/MAX(E3:F3))</f>
        <v>1.4574657941701374E-2</v>
      </c>
      <c r="I3" s="3">
        <f>4/3 * 3.14 * E3*F3*F3</f>
        <v>68.061919893333325</v>
      </c>
    </row>
    <row r="4" spans="1:9" x14ac:dyDescent="0.25">
      <c r="A4" s="1" t="s">
        <v>21</v>
      </c>
      <c r="B4" s="2" t="s">
        <v>10</v>
      </c>
      <c r="C4" s="2" t="s">
        <v>4</v>
      </c>
      <c r="D4" s="2" t="s">
        <v>8</v>
      </c>
      <c r="E4" s="3">
        <v>3.3275000000000001</v>
      </c>
      <c r="F4" s="3">
        <v>1.98</v>
      </c>
      <c r="G4" s="3">
        <v>3.4666666666666699</v>
      </c>
      <c r="H4" s="3">
        <f>VAR(E4/MAX(E4:F4), F4/MAX(E4:F4))</f>
        <v>8.1995765316576597E-2</v>
      </c>
      <c r="I4" s="3">
        <f>4/3 * 3.14 * E4*F4*F4</f>
        <v>54.615615120000001</v>
      </c>
    </row>
    <row r="5" spans="1:9" x14ac:dyDescent="0.25">
      <c r="A5" s="1" t="s">
        <v>43</v>
      </c>
      <c r="B5" s="2" t="s">
        <v>10</v>
      </c>
      <c r="C5" s="2" t="s">
        <v>4</v>
      </c>
      <c r="D5" s="2" t="s">
        <v>8</v>
      </c>
    </row>
    <row r="6" spans="1:9" x14ac:dyDescent="0.25">
      <c r="A6" s="1" t="s">
        <v>46</v>
      </c>
      <c r="B6" s="2" t="s">
        <v>10</v>
      </c>
      <c r="C6" s="2" t="s">
        <v>4</v>
      </c>
      <c r="D6" s="2" t="s">
        <v>8</v>
      </c>
      <c r="E6" s="3">
        <v>1.95</v>
      </c>
      <c r="F6" s="3">
        <v>1.91</v>
      </c>
      <c r="H6" s="3">
        <f>VAR(E6/MAX(E6:F6), F6/MAX(E6:F6))</f>
        <v>2.1038790269559579E-4</v>
      </c>
      <c r="I6" s="3">
        <f>4/3 * 3.14 * E6*F6*F6</f>
        <v>29.783088399999993</v>
      </c>
    </row>
    <row r="7" spans="1:9" x14ac:dyDescent="0.25">
      <c r="A7" s="1" t="s">
        <v>60</v>
      </c>
      <c r="B7" s="2" t="s">
        <v>10</v>
      </c>
      <c r="C7" s="2" t="s">
        <v>4</v>
      </c>
      <c r="D7" s="2" t="s">
        <v>8</v>
      </c>
      <c r="E7" s="3">
        <v>3.1850000000000001</v>
      </c>
      <c r="F7" s="3">
        <v>2.0237500000000002</v>
      </c>
      <c r="G7" s="3">
        <v>3.1666666666666701</v>
      </c>
      <c r="H7" s="3">
        <f>VAR(E7/MAX(E7:F7), F7/MAX(E7:F7))</f>
        <v>6.6466465525951923E-2</v>
      </c>
      <c r="I7" s="3">
        <f>4/3 * 3.14 * E7*F7*F7</f>
        <v>54.612435510208343</v>
      </c>
    </row>
    <row r="8" spans="1:9" x14ac:dyDescent="0.25">
      <c r="A8" s="1" t="s">
        <v>61</v>
      </c>
      <c r="B8" s="2" t="s">
        <v>10</v>
      </c>
      <c r="C8" s="2" t="s">
        <v>4</v>
      </c>
      <c r="D8" s="2" t="s">
        <v>8</v>
      </c>
      <c r="E8" s="3">
        <v>2.5</v>
      </c>
      <c r="F8" s="3">
        <v>2.5</v>
      </c>
      <c r="H8" s="3">
        <f>VAR(E8/MAX(E8:F8), F8/MAX(E8:F8))</f>
        <v>0</v>
      </c>
      <c r="I8" s="3">
        <f>4/3 * 3.14 * E8*F8*F8</f>
        <v>65.416666666666671</v>
      </c>
    </row>
    <row r="9" spans="1:9" x14ac:dyDescent="0.25">
      <c r="A9" s="1" t="s">
        <v>63</v>
      </c>
      <c r="B9" s="2" t="s">
        <v>10</v>
      </c>
      <c r="C9" s="2" t="s">
        <v>4</v>
      </c>
      <c r="D9" s="2" t="s">
        <v>8</v>
      </c>
      <c r="E9" s="3">
        <v>1.4166666666666701</v>
      </c>
      <c r="F9" s="3">
        <v>1.03666666666667</v>
      </c>
      <c r="G9" s="3">
        <v>0.35</v>
      </c>
      <c r="H9" s="3">
        <f>VAR(E9/MAX(E9:F9), F9/MAX(E9:F9))</f>
        <v>3.5975086505190212E-2</v>
      </c>
      <c r="I9" s="3">
        <f>4/3 * 3.14 * E9*F9*F9</f>
        <v>6.3740333086420309</v>
      </c>
    </row>
    <row r="10" spans="1:9" x14ac:dyDescent="0.25">
      <c r="A10" s="1" t="s">
        <v>80</v>
      </c>
      <c r="B10" s="2" t="s">
        <v>10</v>
      </c>
      <c r="C10" s="2" t="s">
        <v>4</v>
      </c>
      <c r="D10" s="2" t="s">
        <v>8</v>
      </c>
      <c r="E10" s="3">
        <v>3.2</v>
      </c>
      <c r="F10" s="3">
        <v>2.3159999999999998</v>
      </c>
      <c r="G10" s="3">
        <v>5.5833333333333304</v>
      </c>
      <c r="H10" s="3">
        <f>VAR(E10/MAX(E10:F10), F10/MAX(E10:F10))</f>
        <v>3.8157031249999918E-2</v>
      </c>
      <c r="I10" s="3">
        <f>4/3 * 3.14 * E10*F10*F10</f>
        <v>71.861366783999983</v>
      </c>
    </row>
    <row r="11" spans="1:9" x14ac:dyDescent="0.25">
      <c r="A11" s="1" t="s">
        <v>94</v>
      </c>
      <c r="B11" s="2" t="s">
        <v>10</v>
      </c>
      <c r="C11" s="2" t="s">
        <v>4</v>
      </c>
      <c r="D11" s="2" t="s">
        <v>8</v>
      </c>
      <c r="E11" s="3">
        <v>1.4933333333333301</v>
      </c>
      <c r="F11" s="3">
        <v>0.99</v>
      </c>
      <c r="G11" s="3">
        <v>0.133333333333333</v>
      </c>
      <c r="H11" s="3">
        <f>VAR(E11/MAX(E11:F11), F11/MAX(E11:F11))</f>
        <v>5.6802555006376654E-2</v>
      </c>
      <c r="I11" s="3">
        <f>4/3 * 3.14 * E11*F11*F11</f>
        <v>6.1276723199999861</v>
      </c>
    </row>
    <row r="12" spans="1:9" x14ac:dyDescent="0.25">
      <c r="A12" s="1" t="s">
        <v>130</v>
      </c>
      <c r="B12" s="2" t="s">
        <v>10</v>
      </c>
      <c r="C12" s="2" t="s">
        <v>4</v>
      </c>
      <c r="D12" s="2" t="s">
        <v>8</v>
      </c>
      <c r="E12" s="3">
        <v>2.6172727272727299</v>
      </c>
      <c r="F12" s="3">
        <v>2.0036363636363599</v>
      </c>
      <c r="G12" s="3">
        <v>1.63333333333333</v>
      </c>
      <c r="H12" s="3">
        <f>VAR(E12/MAX(E12:F12), F12/MAX(E12:F12))</f>
        <v>2.7484903737537314E-2</v>
      </c>
      <c r="I12" s="3">
        <f>4/3 * 3.14 * E12*F12*F12</f>
        <v>43.990122811880667</v>
      </c>
    </row>
    <row r="13" spans="1:9" x14ac:dyDescent="0.25">
      <c r="A13" s="1" t="s">
        <v>133</v>
      </c>
      <c r="B13" s="2" t="s">
        <v>10</v>
      </c>
      <c r="C13" s="2" t="s">
        <v>4</v>
      </c>
      <c r="D13" s="2" t="s">
        <v>8</v>
      </c>
      <c r="E13" s="3">
        <v>1.45</v>
      </c>
      <c r="F13" s="3">
        <v>1.4</v>
      </c>
      <c r="H13" s="3">
        <f>VAR(E13/MAX(E13:F13), F13/MAX(E13:F13))</f>
        <v>5.945303210463757E-4</v>
      </c>
      <c r="I13" s="3">
        <f>4/3 * 3.14 * E13*F13*F13</f>
        <v>11.898506666666664</v>
      </c>
    </row>
    <row r="14" spans="1:9" x14ac:dyDescent="0.25">
      <c r="A14" s="1" t="s">
        <v>164</v>
      </c>
      <c r="B14" s="2" t="s">
        <v>10</v>
      </c>
      <c r="C14" s="2" t="s">
        <v>4</v>
      </c>
      <c r="D14" s="2" t="s">
        <v>8</v>
      </c>
      <c r="E14" s="3">
        <v>4.12</v>
      </c>
      <c r="F14" s="3">
        <v>2.12</v>
      </c>
      <c r="H14" s="3">
        <f>VAR(E14/MAX(E14:F14), F14/MAX(E14:F14))</f>
        <v>0.11782448864171924</v>
      </c>
      <c r="I14" s="3">
        <f>4/3 * 3.14 * E14*F14*F14</f>
        <v>77.524205226666666</v>
      </c>
    </row>
    <row r="15" spans="1:9" x14ac:dyDescent="0.25">
      <c r="A15" s="1" t="s">
        <v>184</v>
      </c>
      <c r="B15" s="2" t="s">
        <v>10</v>
      </c>
      <c r="C15" s="2" t="s">
        <v>4</v>
      </c>
      <c r="D15" s="2" t="s">
        <v>8</v>
      </c>
      <c r="E15" s="3">
        <v>2.1918181818181801</v>
      </c>
      <c r="F15" s="3">
        <v>1.6890909090909101</v>
      </c>
      <c r="G15" s="3">
        <v>1.7666666666666699</v>
      </c>
      <c r="H15" s="3">
        <f>VAR(E15/MAX(E15:F15), F15/MAX(E15:F15))</f>
        <v>2.6304245318317321E-2</v>
      </c>
      <c r="I15" s="3">
        <f>4/3 * 3.14 * E15*F15*F15</f>
        <v>26.180561631414982</v>
      </c>
    </row>
    <row r="16" spans="1:9" x14ac:dyDescent="0.25">
      <c r="A16" s="1" t="s">
        <v>195</v>
      </c>
      <c r="B16" s="2" t="s">
        <v>10</v>
      </c>
      <c r="C16" s="2" t="s">
        <v>4</v>
      </c>
      <c r="D16" s="2" t="s">
        <v>8</v>
      </c>
      <c r="E16" s="3">
        <v>2.9711111111111101</v>
      </c>
      <c r="F16" s="3">
        <v>2.2400000000000002</v>
      </c>
      <c r="G16" s="3">
        <v>2.2333333333333298</v>
      </c>
      <c r="H16" s="3">
        <f>VAR(E16/MAX(E16:F16), F16/MAX(E16:F16))</f>
        <v>3.0276034099942395E-2</v>
      </c>
      <c r="I16" s="3">
        <f>4/3 * 3.14 * E16*F16*F16</f>
        <v>62.414186571851843</v>
      </c>
    </row>
    <row r="17" spans="1:9" x14ac:dyDescent="0.25">
      <c r="A17" s="1" t="s">
        <v>209</v>
      </c>
      <c r="B17" s="2" t="s">
        <v>10</v>
      </c>
      <c r="C17" s="2" t="s">
        <v>4</v>
      </c>
      <c r="D17" s="2" t="s">
        <v>8</v>
      </c>
      <c r="E17" s="3">
        <v>1.982</v>
      </c>
      <c r="F17" s="3">
        <v>1.5640000000000001</v>
      </c>
      <c r="H17" s="3">
        <f>VAR(E17/MAX(E17:F17), F17/MAX(E17:F17))</f>
        <v>2.2239000652695573E-2</v>
      </c>
      <c r="I17" s="3">
        <f>4/3 * 3.14 * E17*F17*F17</f>
        <v>20.297639378773333</v>
      </c>
    </row>
    <row r="18" spans="1:9" x14ac:dyDescent="0.25">
      <c r="A18" s="1" t="s">
        <v>212</v>
      </c>
      <c r="B18" s="2" t="s">
        <v>10</v>
      </c>
      <c r="C18" s="2" t="s">
        <v>4</v>
      </c>
      <c r="D18" s="2" t="s">
        <v>8</v>
      </c>
      <c r="E18" s="3">
        <v>3.2</v>
      </c>
      <c r="F18" s="3">
        <v>2.2549999999999999</v>
      </c>
      <c r="H18" s="3">
        <f>VAR(E18/MAX(E18:F18), F18/MAX(E18:F18))</f>
        <v>4.3604736328124893E-2</v>
      </c>
      <c r="I18" s="3">
        <f>4/3 * 3.14 * E18*F18*F18</f>
        <v>68.125774933333332</v>
      </c>
    </row>
    <row r="19" spans="1:9" x14ac:dyDescent="0.25">
      <c r="A19" s="1" t="s">
        <v>214</v>
      </c>
      <c r="B19" s="2" t="s">
        <v>10</v>
      </c>
      <c r="C19" s="2" t="s">
        <v>4</v>
      </c>
      <c r="D19" s="2" t="s">
        <v>8</v>
      </c>
      <c r="E19" s="3">
        <v>2.6183333333333301</v>
      </c>
      <c r="F19" s="3">
        <v>2.1675</v>
      </c>
      <c r="G19" s="3">
        <v>2.46</v>
      </c>
      <c r="H19" s="3">
        <f>VAR(E19/MAX(E19:F19), F19/MAX(E19:F19))</f>
        <v>1.4823548312203706E-2</v>
      </c>
      <c r="I19" s="3">
        <f>4/3 * 3.14 * E19*F19*F19</f>
        <v>51.500510217499937</v>
      </c>
    </row>
    <row r="20" spans="1:9" x14ac:dyDescent="0.25">
      <c r="A20" s="1" t="s">
        <v>218</v>
      </c>
      <c r="B20" s="2" t="s">
        <v>10</v>
      </c>
      <c r="C20" s="2" t="s">
        <v>4</v>
      </c>
      <c r="D20" s="2" t="s">
        <v>8</v>
      </c>
      <c r="E20" s="3">
        <v>3.1166666666666698</v>
      </c>
      <c r="F20" s="3">
        <v>2.3725000000000001</v>
      </c>
      <c r="G20" s="3">
        <v>7.5</v>
      </c>
      <c r="H20" s="3">
        <f>VAR(E20/MAX(E20:F20), F20/MAX(E20:F20))</f>
        <v>2.8505569218451043E-2</v>
      </c>
      <c r="I20" s="3">
        <f>4/3 * 3.14 * E20*F20*F20</f>
        <v>73.446513219444526</v>
      </c>
    </row>
    <row r="21" spans="1:9" x14ac:dyDescent="0.25">
      <c r="A21" s="1" t="s">
        <v>219</v>
      </c>
      <c r="B21" s="2" t="s">
        <v>10</v>
      </c>
      <c r="C21" s="2" t="s">
        <v>4</v>
      </c>
      <c r="D21" s="2" t="s">
        <v>8</v>
      </c>
      <c r="E21" s="3">
        <v>3.0939999999999999</v>
      </c>
      <c r="F21" s="3">
        <v>2.073</v>
      </c>
      <c r="G21" s="3">
        <v>5.93333333333333</v>
      </c>
      <c r="H21" s="3">
        <f>VAR(E21/MAX(E21:F21), F21/MAX(E21:F21))</f>
        <v>5.4447866859935745E-2</v>
      </c>
      <c r="I21" s="3">
        <f>4/3 * 3.14 * E21*F21*F21</f>
        <v>55.665651743519994</v>
      </c>
    </row>
    <row r="22" spans="1:9" x14ac:dyDescent="0.25">
      <c r="A22" s="1" t="s">
        <v>223</v>
      </c>
      <c r="B22" s="2" t="s">
        <v>10</v>
      </c>
      <c r="C22" s="2" t="s">
        <v>4</v>
      </c>
      <c r="D22" s="2" t="s">
        <v>8</v>
      </c>
      <c r="E22" s="3">
        <v>2.96</v>
      </c>
      <c r="F22" s="3">
        <v>1.94</v>
      </c>
      <c r="G22" s="3">
        <v>4.7</v>
      </c>
      <c r="H22" s="3">
        <f>VAR(E22/MAX(E22:F22), F22/MAX(E22:F22))</f>
        <v>5.9372717311906742E-2</v>
      </c>
      <c r="I22" s="3">
        <f>4/3 * 3.14 * E22*F22*F22</f>
        <v>46.640538453333328</v>
      </c>
    </row>
    <row r="23" spans="1:9" x14ac:dyDescent="0.25">
      <c r="A23" s="1" t="s">
        <v>234</v>
      </c>
      <c r="B23" s="2" t="s">
        <v>10</v>
      </c>
      <c r="C23" s="2" t="s">
        <v>4</v>
      </c>
      <c r="D23" s="2" t="s">
        <v>8</v>
      </c>
      <c r="E23" s="3">
        <v>1.89</v>
      </c>
      <c r="F23" s="3">
        <v>1.66</v>
      </c>
      <c r="G23" s="3">
        <v>0.43333333333333302</v>
      </c>
      <c r="H23" s="3">
        <f>VAR(E23/MAX(E23:F23), F23/MAX(E23:F23))</f>
        <v>7.4046079337084687E-3</v>
      </c>
      <c r="I23" s="3">
        <f>4/3 * 3.14 * E23*F23*F23</f>
        <v>21.804511679999994</v>
      </c>
    </row>
    <row r="24" spans="1:9" x14ac:dyDescent="0.25">
      <c r="A24" s="1" t="s">
        <v>237</v>
      </c>
      <c r="B24" s="2" t="s">
        <v>10</v>
      </c>
      <c r="C24" s="2" t="s">
        <v>4</v>
      </c>
      <c r="D24" s="2" t="s">
        <v>8</v>
      </c>
      <c r="E24" s="3">
        <v>2.12</v>
      </c>
      <c r="F24" s="3">
        <v>1.45</v>
      </c>
      <c r="G24" s="3">
        <v>1.1000000000000001</v>
      </c>
      <c r="H24" s="3">
        <f>VAR(E24/MAX(E24:F24), F24/MAX(E24:F24))</f>
        <v>4.9939925240299221E-2</v>
      </c>
      <c r="I24" s="3">
        <f>4/3 * 3.14 * E24*F24*F24</f>
        <v>18.661229333333331</v>
      </c>
    </row>
    <row r="25" spans="1:9" x14ac:dyDescent="0.25">
      <c r="A25" s="1" t="s">
        <v>22</v>
      </c>
      <c r="B25" s="2" t="s">
        <v>10</v>
      </c>
      <c r="C25" s="2" t="s">
        <v>4</v>
      </c>
      <c r="D25" s="2" t="s">
        <v>4</v>
      </c>
      <c r="E25" s="3">
        <v>2.7524999999999999</v>
      </c>
      <c r="F25" s="3">
        <v>2.2475000000000001</v>
      </c>
      <c r="G25" s="3">
        <v>1.1499999999999999</v>
      </c>
      <c r="H25" s="3">
        <f>VAR(E25/MAX(E25:F25), F25/MAX(E25:F25))</f>
        <v>1.6830542129564252E-2</v>
      </c>
      <c r="I25" s="3">
        <f>4/3 * 3.14 * E25*F25*F25</f>
        <v>58.209666773750001</v>
      </c>
    </row>
    <row r="26" spans="1:9" x14ac:dyDescent="0.25">
      <c r="A26" s="1" t="s">
        <v>28</v>
      </c>
      <c r="B26" s="2" t="s">
        <v>10</v>
      </c>
      <c r="C26" s="2" t="s">
        <v>4</v>
      </c>
      <c r="D26" s="2" t="s">
        <v>4</v>
      </c>
      <c r="E26" s="3">
        <v>2.35</v>
      </c>
      <c r="F26" s="3">
        <v>2.15</v>
      </c>
      <c r="H26" s="3">
        <f>VAR(E26/MAX(E26:F26), F26/MAX(E26:F26))</f>
        <v>3.6215482118605808E-3</v>
      </c>
      <c r="I26" s="3">
        <f>4/3 * 3.14 * E26*F26*F26</f>
        <v>45.479236666666665</v>
      </c>
    </row>
    <row r="27" spans="1:9" x14ac:dyDescent="0.25">
      <c r="A27" s="1" t="s">
        <v>31</v>
      </c>
      <c r="B27" s="2" t="s">
        <v>10</v>
      </c>
      <c r="C27" s="2" t="s">
        <v>4</v>
      </c>
      <c r="D27" s="2" t="s">
        <v>4</v>
      </c>
      <c r="E27" s="3">
        <v>3.0630000000000002</v>
      </c>
      <c r="F27" s="3">
        <v>2.1459999999999999</v>
      </c>
      <c r="G27" s="3">
        <v>1.2</v>
      </c>
      <c r="H27" s="3">
        <f>VAR(E27/MAX(E27:F27), F27/MAX(E27:F27))</f>
        <v>4.4814100323716577E-2</v>
      </c>
      <c r="I27" s="3">
        <f>4/3 * 3.14 * E27*F27*F27</f>
        <v>59.057467108159997</v>
      </c>
    </row>
    <row r="28" spans="1:9" x14ac:dyDescent="0.25">
      <c r="A28" s="1" t="s">
        <v>35</v>
      </c>
      <c r="B28" s="2" t="s">
        <v>10</v>
      </c>
      <c r="C28" s="2" t="s">
        <v>4</v>
      </c>
      <c r="D28" s="2" t="s">
        <v>4</v>
      </c>
      <c r="E28" s="3">
        <v>2.7544444444444398</v>
      </c>
      <c r="F28" s="3">
        <v>1.89</v>
      </c>
      <c r="H28" s="3">
        <f>VAR(E28/MAX(E28:F28), F28/MAX(E28:F28))</f>
        <v>4.9246587836413891E-2</v>
      </c>
      <c r="I28" s="3">
        <f>4/3 * 3.14 * E28*F28*F28</f>
        <v>41.193245519999927</v>
      </c>
    </row>
    <row r="29" spans="1:9" x14ac:dyDescent="0.25">
      <c r="A29" s="1" t="s">
        <v>37</v>
      </c>
      <c r="B29" s="2" t="s">
        <v>10</v>
      </c>
      <c r="C29" s="2" t="s">
        <v>4</v>
      </c>
      <c r="D29" s="2" t="s">
        <v>4</v>
      </c>
      <c r="E29" s="3">
        <v>2.3691666666666702</v>
      </c>
      <c r="F29" s="3">
        <v>1.8233333333333299</v>
      </c>
      <c r="G29" s="3">
        <v>2.6666666666666701</v>
      </c>
      <c r="H29" s="3">
        <f>VAR(E29/MAX(E29:F29), F29/MAX(E29:F29))</f>
        <v>2.653987572638683E-2</v>
      </c>
      <c r="I29" s="3">
        <f>4/3 * 3.14 * E29*F29*F29</f>
        <v>32.97586082938264</v>
      </c>
    </row>
    <row r="30" spans="1:9" x14ac:dyDescent="0.25">
      <c r="A30" s="1" t="s">
        <v>39</v>
      </c>
      <c r="B30" s="2" t="s">
        <v>10</v>
      </c>
      <c r="C30" s="2" t="s">
        <v>4</v>
      </c>
      <c r="D30" s="2" t="s">
        <v>4</v>
      </c>
      <c r="E30" s="3">
        <v>2.63</v>
      </c>
      <c r="F30" s="3">
        <v>2.38</v>
      </c>
      <c r="H30" s="3">
        <f>VAR(E30/MAX(E30:F30), F30/MAX(E30:F30))</f>
        <v>4.5179198774017298E-3</v>
      </c>
      <c r="I30" s="3">
        <f>4/3 * 3.14 * E30*F30*F30</f>
        <v>62.370330773333322</v>
      </c>
    </row>
    <row r="31" spans="1:9" x14ac:dyDescent="0.25">
      <c r="A31" s="1" t="s">
        <v>56</v>
      </c>
      <c r="B31" s="2" t="s">
        <v>10</v>
      </c>
      <c r="C31" s="2" t="s">
        <v>4</v>
      </c>
      <c r="D31" s="2" t="s">
        <v>4</v>
      </c>
      <c r="E31" s="3">
        <v>2.81</v>
      </c>
      <c r="F31" s="3">
        <v>1.83</v>
      </c>
      <c r="H31" s="3">
        <f>VAR(E31/MAX(E31:F31), F31/MAX(E31:F31))</f>
        <v>6.0814832638897531E-2</v>
      </c>
      <c r="I31" s="3">
        <f>4/3 * 3.14 * E31*F31*F31</f>
        <v>39.398245680000002</v>
      </c>
    </row>
    <row r="32" spans="1:9" x14ac:dyDescent="0.25">
      <c r="A32" s="1" t="s">
        <v>57</v>
      </c>
      <c r="B32" s="2" t="s">
        <v>10</v>
      </c>
      <c r="C32" s="2" t="s">
        <v>4</v>
      </c>
      <c r="D32" s="2" t="s">
        <v>4</v>
      </c>
      <c r="E32" s="3">
        <v>2.8357142857142899</v>
      </c>
      <c r="F32" s="3">
        <v>2.2557142857142898</v>
      </c>
      <c r="G32" s="3">
        <v>3.7</v>
      </c>
      <c r="H32" s="3">
        <f>VAR(E32/MAX(E32:F32), F32/MAX(E32:F32))</f>
        <v>2.0917079608397948E-2</v>
      </c>
      <c r="I32" s="3">
        <f>4/3 * 3.14 * E32*F32*F32</f>
        <v>60.408636847036263</v>
      </c>
    </row>
    <row r="33" spans="1:9" x14ac:dyDescent="0.25">
      <c r="A33" s="1" t="s">
        <v>74</v>
      </c>
      <c r="B33" s="2" t="s">
        <v>10</v>
      </c>
      <c r="C33" s="2" t="s">
        <v>4</v>
      </c>
      <c r="D33" s="2" t="s">
        <v>4</v>
      </c>
      <c r="E33" s="3">
        <v>3</v>
      </c>
      <c r="F33" s="3">
        <v>3</v>
      </c>
      <c r="H33" s="3">
        <f>VAR(E33/MAX(E33:F33), F33/MAX(E33:F33))</f>
        <v>0</v>
      </c>
      <c r="I33" s="3">
        <f>4/3 * 3.14 * E33*F33*F33</f>
        <v>113.03999999999998</v>
      </c>
    </row>
    <row r="34" spans="1:9" x14ac:dyDescent="0.25">
      <c r="A34" s="1" t="s">
        <v>86</v>
      </c>
      <c r="B34" s="2" t="s">
        <v>10</v>
      </c>
      <c r="C34" s="2" t="s">
        <v>4</v>
      </c>
      <c r="D34" s="2" t="s">
        <v>4</v>
      </c>
      <c r="E34" s="3">
        <v>3.22857142857143</v>
      </c>
      <c r="F34" s="3">
        <v>2.76857142857143</v>
      </c>
      <c r="G34" s="3">
        <v>7.78571428571429</v>
      </c>
      <c r="H34" s="3">
        <f>VAR(E34/MAX(E34:F34), F34/MAX(E34:F34))</f>
        <v>1.0149972589866078E-2</v>
      </c>
      <c r="I34" s="3">
        <f>4/3 * 3.14 * E34*F34*F34</f>
        <v>103.60727448629751</v>
      </c>
    </row>
    <row r="35" spans="1:9" x14ac:dyDescent="0.25">
      <c r="A35" s="1" t="s">
        <v>103</v>
      </c>
      <c r="B35" s="2" t="s">
        <v>10</v>
      </c>
      <c r="C35" s="2" t="s">
        <v>4</v>
      </c>
      <c r="D35" s="2" t="s">
        <v>4</v>
      </c>
      <c r="E35" s="3">
        <v>2.65</v>
      </c>
      <c r="F35" s="3">
        <v>2.65</v>
      </c>
      <c r="H35" s="3">
        <f>VAR(E35/MAX(E35:F35), F35/MAX(E35:F35))</f>
        <v>0</v>
      </c>
      <c r="I35" s="3">
        <f>4/3 * 3.14 * E35*F35*F35</f>
        <v>77.912296666666649</v>
      </c>
    </row>
    <row r="36" spans="1:9" x14ac:dyDescent="0.25">
      <c r="A36" s="1" t="s">
        <v>136</v>
      </c>
      <c r="B36" s="2" t="s">
        <v>10</v>
      </c>
      <c r="C36" s="2" t="s">
        <v>4</v>
      </c>
      <c r="D36" s="2" t="s">
        <v>4</v>
      </c>
      <c r="E36" s="3">
        <v>2.3477777777777802</v>
      </c>
      <c r="F36" s="3">
        <v>1.84111111111111</v>
      </c>
      <c r="G36" s="3">
        <v>1.93333333333333</v>
      </c>
      <c r="H36" s="3">
        <f>VAR(E36/MAX(E36:F36), F36/MAX(E36:F36))</f>
        <v>2.3286311117103997E-2</v>
      </c>
      <c r="I36" s="3">
        <f>4/3 * 3.14 * E36*F36*F36</f>
        <v>33.31849455542752</v>
      </c>
    </row>
    <row r="37" spans="1:9" x14ac:dyDescent="0.25">
      <c r="A37" s="1" t="s">
        <v>137</v>
      </c>
      <c r="B37" s="2" t="s">
        <v>10</v>
      </c>
      <c r="C37" s="2" t="s">
        <v>4</v>
      </c>
      <c r="D37" s="2" t="s">
        <v>4</v>
      </c>
      <c r="E37" s="3">
        <v>2.78</v>
      </c>
      <c r="F37" s="3">
        <v>2.6033333333333299</v>
      </c>
      <c r="G37" s="3">
        <v>4.4666666666666703</v>
      </c>
      <c r="H37" s="3">
        <f>VAR(E37/MAX(E37:F37), F37/MAX(E37:F37))</f>
        <v>2.0192479110237725E-3</v>
      </c>
      <c r="I37" s="3">
        <f>4/3 * 3.14 * E37*F37*F37</f>
        <v>78.881060165925717</v>
      </c>
    </row>
    <row r="38" spans="1:9" x14ac:dyDescent="0.25">
      <c r="A38" s="1" t="s">
        <v>145</v>
      </c>
      <c r="B38" s="2" t="s">
        <v>10</v>
      </c>
      <c r="C38" s="2" t="s">
        <v>4</v>
      </c>
      <c r="D38" s="2" t="s">
        <v>4</v>
      </c>
      <c r="E38" s="3">
        <v>2.97571428571429</v>
      </c>
      <c r="F38" s="3">
        <v>1.98857142857143</v>
      </c>
      <c r="G38" s="3">
        <v>2.2999999999999998</v>
      </c>
      <c r="H38" s="3">
        <f>VAR(E38/MAX(E38:F38), F38/MAX(E38:F38))</f>
        <v>5.5023417284931986E-2</v>
      </c>
      <c r="I38" s="3">
        <f>4/3 * 3.14 * E38*F38*F38</f>
        <v>49.265399073586146</v>
      </c>
    </row>
    <row r="39" spans="1:9" x14ac:dyDescent="0.25">
      <c r="A39" s="1" t="s">
        <v>157</v>
      </c>
      <c r="B39" s="2" t="s">
        <v>10</v>
      </c>
      <c r="C39" s="2" t="s">
        <v>4</v>
      </c>
      <c r="D39" s="2" t="s">
        <v>4</v>
      </c>
      <c r="E39" s="3">
        <v>2.5244444444444398</v>
      </c>
      <c r="F39" s="3">
        <v>1.80666666666667</v>
      </c>
      <c r="G39" s="3">
        <v>4.1105263157894703</v>
      </c>
      <c r="H39" s="3">
        <f>VAR(E39/MAX(E39:F39), F39/MAX(E39:F39))</f>
        <v>4.0422054775837379E-2</v>
      </c>
      <c r="I39" s="3">
        <f>4/3 * 3.14 * E39*F39*F39</f>
        <v>34.497709911440388</v>
      </c>
    </row>
    <row r="40" spans="1:9" x14ac:dyDescent="0.25">
      <c r="A40" s="1" t="s">
        <v>158</v>
      </c>
      <c r="B40" s="2" t="s">
        <v>10</v>
      </c>
      <c r="C40" s="2" t="s">
        <v>4</v>
      </c>
      <c r="D40" s="2" t="s">
        <v>4</v>
      </c>
      <c r="E40" s="3">
        <v>1.9766666666666699</v>
      </c>
      <c r="F40" s="3">
        <v>1.43333333333333</v>
      </c>
      <c r="G40" s="3">
        <v>0.67500000000000004</v>
      </c>
      <c r="H40" s="3">
        <f>VAR(E40/MAX(E40:F40), F40/MAX(E40:F40))</f>
        <v>3.7777727222316315E-2</v>
      </c>
      <c r="I40" s="3">
        <f>4/3 * 3.14 * E40*F40*F40</f>
        <v>17.001851753086367</v>
      </c>
    </row>
    <row r="41" spans="1:9" x14ac:dyDescent="0.25">
      <c r="A41" s="1" t="s">
        <v>177</v>
      </c>
      <c r="B41" s="2" t="s">
        <v>10</v>
      </c>
      <c r="C41" s="2" t="s">
        <v>4</v>
      </c>
      <c r="D41" s="2" t="s">
        <v>4</v>
      </c>
      <c r="E41" s="3">
        <v>2.8162500000000001</v>
      </c>
      <c r="F41" s="3">
        <v>1.9087499999999999</v>
      </c>
      <c r="G41" s="3">
        <v>1.8</v>
      </c>
      <c r="H41" s="3">
        <f>VAR(E41/MAX(E41:F41), F41/MAX(E41:F41))</f>
        <v>5.1918347662504249E-2</v>
      </c>
      <c r="I41" s="3">
        <f>4/3 * 3.14 * E41*F41*F41</f>
        <v>42.957370500468748</v>
      </c>
    </row>
    <row r="42" spans="1:9" x14ac:dyDescent="0.25">
      <c r="A42" s="1" t="s">
        <v>193</v>
      </c>
      <c r="B42" s="2" t="s">
        <v>10</v>
      </c>
      <c r="C42" s="2" t="s">
        <v>4</v>
      </c>
      <c r="D42" s="2" t="s">
        <v>4</v>
      </c>
      <c r="E42" s="3">
        <v>3.2866666666666702</v>
      </c>
      <c r="F42" s="3">
        <v>2.75</v>
      </c>
      <c r="H42" s="3">
        <f>VAR(E42/MAX(E42:F42), F42/MAX(E42:F42))</f>
        <v>1.3331159560418009E-2</v>
      </c>
      <c r="I42" s="3">
        <f>4/3 * 3.14 * E42*F42*F42</f>
        <v>104.06134444444456</v>
      </c>
    </row>
    <row r="43" spans="1:9" x14ac:dyDescent="0.25">
      <c r="A43" s="1" t="s">
        <v>232</v>
      </c>
      <c r="B43" s="2" t="s">
        <v>10</v>
      </c>
      <c r="C43" s="2" t="s">
        <v>4</v>
      </c>
      <c r="D43" s="2" t="s">
        <v>4</v>
      </c>
      <c r="E43" s="3">
        <v>2.63</v>
      </c>
      <c r="F43" s="3">
        <v>1.8128571428571401</v>
      </c>
      <c r="G43" s="3">
        <v>1.8</v>
      </c>
      <c r="H43" s="3">
        <f>VAR(E43/MAX(E43:F43), F43/MAX(E43:F43))</f>
        <v>4.8267464397316662E-2</v>
      </c>
      <c r="I43" s="3">
        <f>4/3 * 3.14 * E43*F43*F43</f>
        <v>36.186893088979474</v>
      </c>
    </row>
    <row r="44" spans="1:9" x14ac:dyDescent="0.25">
      <c r="A44" s="1" t="s">
        <v>246</v>
      </c>
      <c r="B44" s="2" t="s">
        <v>10</v>
      </c>
      <c r="C44" s="2" t="s">
        <v>4</v>
      </c>
      <c r="D44" s="2" t="s">
        <v>4</v>
      </c>
      <c r="E44" s="3">
        <v>3.4</v>
      </c>
      <c r="F44" s="3">
        <v>3.06</v>
      </c>
      <c r="H44" s="3">
        <f>VAR(E44/MAX(E44:F44), F44/MAX(E44:F44))</f>
        <v>4.9999999999999975E-3</v>
      </c>
      <c r="I44" s="3">
        <f>4/3 * 3.14 * E44*F44*F44</f>
        <v>133.28772480000001</v>
      </c>
    </row>
    <row r="45" spans="1:9" x14ac:dyDescent="0.25">
      <c r="A45" s="1" t="s">
        <v>11</v>
      </c>
      <c r="B45" s="2" t="s">
        <v>12</v>
      </c>
      <c r="C45" s="2" t="s">
        <v>4</v>
      </c>
      <c r="D45" s="2" t="s">
        <v>8</v>
      </c>
      <c r="E45" s="3">
        <v>2</v>
      </c>
    </row>
    <row r="46" spans="1:9" x14ac:dyDescent="0.25">
      <c r="A46" s="1" t="s">
        <v>15</v>
      </c>
      <c r="B46" s="2" t="s">
        <v>12</v>
      </c>
      <c r="C46" s="2" t="s">
        <v>4</v>
      </c>
      <c r="D46" s="2" t="s">
        <v>8</v>
      </c>
      <c r="E46" s="3">
        <v>1.6666666666666701</v>
      </c>
      <c r="F46" s="3">
        <v>1.1666666666666701</v>
      </c>
      <c r="H46" s="3">
        <f>VAR(E46/MAX(E46:F46), F46/MAX(E46:F46))</f>
        <v>4.4999999999999929E-2</v>
      </c>
      <c r="I46" s="3">
        <f>4/3 * 3.14 * E46*F46*F46</f>
        <v>9.4975308641976071</v>
      </c>
    </row>
    <row r="47" spans="1:9" x14ac:dyDescent="0.25">
      <c r="A47" s="1" t="s">
        <v>17</v>
      </c>
      <c r="B47" s="2" t="s">
        <v>12</v>
      </c>
      <c r="C47" s="2" t="s">
        <v>4</v>
      </c>
      <c r="D47" s="2" t="s">
        <v>8</v>
      </c>
      <c r="E47" s="3">
        <v>1.3660000000000001</v>
      </c>
      <c r="F47" s="3">
        <v>0.86799999999999999</v>
      </c>
      <c r="G47" s="3">
        <v>0.47499999999999998</v>
      </c>
      <c r="H47" s="3">
        <f>VAR(E47/MAX(E47:F47), F47/MAX(E47:F47))</f>
        <v>6.645494320337697E-2</v>
      </c>
      <c r="I47" s="3">
        <f>4/3 * 3.14 * E47*F47*F47</f>
        <v>4.3088218103466662</v>
      </c>
    </row>
    <row r="48" spans="1:9" x14ac:dyDescent="0.25">
      <c r="A48" s="1" t="s">
        <v>18</v>
      </c>
      <c r="B48" s="2" t="s">
        <v>12</v>
      </c>
      <c r="C48" s="2" t="s">
        <v>4</v>
      </c>
      <c r="D48" s="2" t="s">
        <v>8</v>
      </c>
      <c r="E48" s="3">
        <v>1.46</v>
      </c>
      <c r="F48" s="3">
        <v>1.08</v>
      </c>
      <c r="H48" s="3">
        <f>VAR(E48/MAX(E48:F48), F48/MAX(E48:F48))</f>
        <v>3.3871270407205722E-2</v>
      </c>
      <c r="I48" s="3">
        <f>4/3 * 3.14 * E48*F48*F48</f>
        <v>7.1296588800000009</v>
      </c>
    </row>
    <row r="49" spans="1:9" x14ac:dyDescent="0.25">
      <c r="A49" s="1" t="s">
        <v>23</v>
      </c>
      <c r="B49" s="2" t="s">
        <v>12</v>
      </c>
      <c r="C49" s="2" t="s">
        <v>4</v>
      </c>
      <c r="D49" s="2" t="s">
        <v>8</v>
      </c>
      <c r="E49" s="3">
        <v>1.38</v>
      </c>
      <c r="F49" s="3">
        <v>0.89</v>
      </c>
      <c r="H49" s="3">
        <f>VAR(E49/MAX(E49:F49), F49/MAX(E49:F49))</f>
        <v>6.3038227263179758E-2</v>
      </c>
      <c r="I49" s="3">
        <f>4/3 * 3.14 * E49*F49*F49</f>
        <v>4.5764369599999997</v>
      </c>
    </row>
    <row r="50" spans="1:9" x14ac:dyDescent="0.25">
      <c r="A50" s="1" t="s">
        <v>25</v>
      </c>
      <c r="B50" s="2" t="s">
        <v>12</v>
      </c>
      <c r="C50" s="2" t="s">
        <v>4</v>
      </c>
      <c r="D50" s="2" t="s">
        <v>8</v>
      </c>
      <c r="E50" s="3">
        <v>3.6933333333333298</v>
      </c>
      <c r="F50" s="3">
        <v>3.4066666666666698</v>
      </c>
      <c r="G50" s="3">
        <v>5.4666666666666703</v>
      </c>
      <c r="H50" s="3">
        <f>VAR(E50/MAX(E50:F50), F50/MAX(E50:F50))</f>
        <v>3.0122248432794558E-3</v>
      </c>
      <c r="I50" s="3">
        <f>4/3 * 3.14 * E50*F50*F50</f>
        <v>179.4511197076545</v>
      </c>
    </row>
    <row r="51" spans="1:9" x14ac:dyDescent="0.25">
      <c r="A51" s="1" t="s">
        <v>30</v>
      </c>
      <c r="B51" s="2" t="s">
        <v>12</v>
      </c>
      <c r="C51" s="2" t="s">
        <v>4</v>
      </c>
      <c r="D51" s="2" t="s">
        <v>8</v>
      </c>
      <c r="E51" s="3">
        <v>3.79</v>
      </c>
      <c r="F51" s="3">
        <v>2.73142857142857</v>
      </c>
      <c r="G51" s="3">
        <v>5.8</v>
      </c>
      <c r="H51" s="3">
        <f>VAR(E51/MAX(E51:F51), F51/MAX(E51:F51))</f>
        <v>3.9006045258239475E-2</v>
      </c>
      <c r="I51" s="3">
        <f>4/3 * 3.14 * E51*F51*F51</f>
        <v>118.38244094258492</v>
      </c>
    </row>
    <row r="52" spans="1:9" x14ac:dyDescent="0.25">
      <c r="A52" s="1" t="s">
        <v>34</v>
      </c>
      <c r="B52" s="2" t="s">
        <v>12</v>
      </c>
      <c r="C52" s="2" t="s">
        <v>4</v>
      </c>
      <c r="D52" s="2" t="s">
        <v>8</v>
      </c>
      <c r="E52" s="3">
        <v>2.85</v>
      </c>
      <c r="F52" s="3">
        <v>2.5</v>
      </c>
      <c r="H52" s="3">
        <f>VAR(E52/MAX(E52:F52), F52/MAX(E52:F52))</f>
        <v>7.5407817790089319E-3</v>
      </c>
      <c r="I52" s="3">
        <f>4/3 * 3.14 * E52*F52*F52</f>
        <v>74.575000000000003</v>
      </c>
    </row>
    <row r="53" spans="1:9" x14ac:dyDescent="0.25">
      <c r="A53" s="1" t="s">
        <v>36</v>
      </c>
      <c r="B53" s="2" t="s">
        <v>12</v>
      </c>
      <c r="C53" s="2" t="s">
        <v>4</v>
      </c>
      <c r="D53" s="2" t="s">
        <v>8</v>
      </c>
      <c r="E53" s="3">
        <v>1.73</v>
      </c>
      <c r="F53" s="3">
        <v>0.79600000000000004</v>
      </c>
      <c r="H53" s="3">
        <f>VAR(E53/MAX(E53:F53), F53/MAX(E53:F53))</f>
        <v>0.14573757893681694</v>
      </c>
      <c r="I53" s="3">
        <f>4/3 * 3.14 * E53*F53*F53</f>
        <v>4.5892384469333338</v>
      </c>
    </row>
    <row r="54" spans="1:9" x14ac:dyDescent="0.25">
      <c r="A54" s="1" t="s">
        <v>41</v>
      </c>
      <c r="B54" s="2" t="s">
        <v>12</v>
      </c>
      <c r="C54" s="2" t="s">
        <v>4</v>
      </c>
      <c r="D54" s="2" t="s">
        <v>8</v>
      </c>
      <c r="E54" s="3">
        <v>1.8374999999999999</v>
      </c>
      <c r="F54" s="3">
        <v>1.3225</v>
      </c>
      <c r="H54" s="3">
        <f>VAR(E54/MAX(E54:F54), F54/MAX(E54:F54))</f>
        <v>3.9276227497801797E-2</v>
      </c>
      <c r="I54" s="3">
        <f>4/3 * 3.14 * E54*F54*F54</f>
        <v>13.455105081249998</v>
      </c>
    </row>
    <row r="55" spans="1:9" x14ac:dyDescent="0.25">
      <c r="A55" s="1" t="s">
        <v>47</v>
      </c>
      <c r="B55" s="2" t="s">
        <v>12</v>
      </c>
      <c r="C55" s="2" t="s">
        <v>4</v>
      </c>
      <c r="D55" s="2" t="s">
        <v>8</v>
      </c>
      <c r="E55" s="3">
        <v>1.33666666666667</v>
      </c>
      <c r="F55" s="3">
        <v>1.0333333333333301</v>
      </c>
      <c r="G55" s="3">
        <v>0.38333333333333303</v>
      </c>
      <c r="H55" s="3">
        <f>VAR(E55/MAX(E55:F55), F55/MAX(E55:F55))</f>
        <v>2.5749217977501182E-2</v>
      </c>
      <c r="I55" s="3">
        <f>4/3 * 3.14 * E55*F55*F55</f>
        <v>5.9754742716049156</v>
      </c>
    </row>
    <row r="56" spans="1:9" x14ac:dyDescent="0.25">
      <c r="A56" s="1" t="s">
        <v>52</v>
      </c>
      <c r="B56" s="2" t="s">
        <v>12</v>
      </c>
      <c r="C56" s="2" t="s">
        <v>4</v>
      </c>
      <c r="D56" s="2" t="s">
        <v>8</v>
      </c>
      <c r="E56" s="3">
        <v>3.1</v>
      </c>
      <c r="F56" s="3">
        <v>1.9</v>
      </c>
      <c r="H56" s="3">
        <f>VAR(E56/MAX(E56:F56), F56/MAX(E56:F56))</f>
        <v>7.4921956295525671E-2</v>
      </c>
      <c r="I56" s="3">
        <f>4/3 * 3.14 * E56*F56*F56</f>
        <v>46.852986666666666</v>
      </c>
    </row>
    <row r="57" spans="1:9" x14ac:dyDescent="0.25">
      <c r="A57" s="1" t="s">
        <v>53</v>
      </c>
      <c r="B57" s="2" t="s">
        <v>12</v>
      </c>
      <c r="C57" s="2" t="s">
        <v>4</v>
      </c>
      <c r="D57" s="2" t="s">
        <v>8</v>
      </c>
      <c r="E57" s="3">
        <v>1.87</v>
      </c>
      <c r="F57" s="3">
        <v>1.1599999999999999</v>
      </c>
      <c r="H57" s="3">
        <f>VAR(E57/MAX(E57:F57), F57/MAX(E57:F57))</f>
        <v>7.2078126340473281E-2</v>
      </c>
      <c r="I57" s="3">
        <f>4/3 * 3.14 * E57*F57*F57</f>
        <v>10.534792106666666</v>
      </c>
    </row>
    <row r="58" spans="1:9" x14ac:dyDescent="0.25">
      <c r="A58" s="1" t="s">
        <v>68</v>
      </c>
      <c r="B58" s="2" t="s">
        <v>12</v>
      </c>
      <c r="C58" s="2" t="s">
        <v>4</v>
      </c>
      <c r="D58" s="2" t="s">
        <v>8</v>
      </c>
      <c r="E58" s="3">
        <v>1.3314285714285701</v>
      </c>
      <c r="F58" s="3">
        <v>0.88</v>
      </c>
      <c r="G58" s="3">
        <v>0.22500000000000001</v>
      </c>
      <c r="H58" s="3">
        <f>VAR(E58/MAX(E58:F58), F58/MAX(E58:F58))</f>
        <v>5.74794157195746E-2</v>
      </c>
      <c r="I58" s="3">
        <f>4/3 * 3.14 * E58*F58*F58</f>
        <v>4.3166973561904713</v>
      </c>
    </row>
    <row r="59" spans="1:9" x14ac:dyDescent="0.25">
      <c r="A59" s="1" t="s">
        <v>71</v>
      </c>
      <c r="B59" s="2" t="s">
        <v>12</v>
      </c>
      <c r="C59" s="2" t="s">
        <v>4</v>
      </c>
      <c r="D59" s="2" t="s">
        <v>8</v>
      </c>
      <c r="E59" s="3">
        <v>1.85</v>
      </c>
      <c r="F59" s="3">
        <v>0.9</v>
      </c>
      <c r="H59" s="3">
        <f>VAR(E59/MAX(E59:F59), F59/MAX(E59:F59))</f>
        <v>0.13184806428049689</v>
      </c>
      <c r="I59" s="3">
        <f>4/3 * 3.14 * E59*F59*F59</f>
        <v>6.2737200000000009</v>
      </c>
    </row>
    <row r="60" spans="1:9" x14ac:dyDescent="0.25">
      <c r="A60" s="1" t="s">
        <v>72</v>
      </c>
      <c r="B60" s="2" t="s">
        <v>12</v>
      </c>
      <c r="C60" s="2" t="s">
        <v>4</v>
      </c>
      <c r="D60" s="2" t="s">
        <v>8</v>
      </c>
      <c r="E60" s="3">
        <v>1.6445454545454501</v>
      </c>
      <c r="F60" s="3">
        <v>1.2072727272727299</v>
      </c>
      <c r="G60" s="3">
        <v>0.8</v>
      </c>
      <c r="H60" s="3">
        <f>VAR(E60/MAX(E60:F60), F60/MAX(E60:F60))</f>
        <v>3.5349479492774893E-2</v>
      </c>
      <c r="I60" s="3">
        <f>4/3 * 3.14 * E60*F60*F60</f>
        <v>10.035177211960949</v>
      </c>
    </row>
    <row r="61" spans="1:9" x14ac:dyDescent="0.25">
      <c r="A61" s="1" t="s">
        <v>77</v>
      </c>
      <c r="B61" s="2" t="s">
        <v>12</v>
      </c>
      <c r="C61" s="2" t="s">
        <v>4</v>
      </c>
      <c r="D61" s="2" t="s">
        <v>8</v>
      </c>
      <c r="E61" s="3">
        <v>2.77</v>
      </c>
      <c r="F61" s="3">
        <v>1.82</v>
      </c>
      <c r="H61" s="3">
        <f>VAR(E61/MAX(E61:F61), F61/MAX(E61:F61))</f>
        <v>5.881087984986122E-2</v>
      </c>
      <c r="I61" s="3">
        <f>4/3 * 3.14 * E61*F61*F61</f>
        <v>38.414123626666672</v>
      </c>
    </row>
    <row r="62" spans="1:9" x14ac:dyDescent="0.25">
      <c r="A62" s="1" t="s">
        <v>84</v>
      </c>
      <c r="B62" s="2" t="s">
        <v>12</v>
      </c>
      <c r="C62" s="2" t="s">
        <v>4</v>
      </c>
      <c r="D62" s="2" t="s">
        <v>8</v>
      </c>
      <c r="E62" s="3">
        <v>2.61625</v>
      </c>
      <c r="F62" s="3">
        <v>1.8087500000000001</v>
      </c>
      <c r="G62" s="3">
        <v>2.68</v>
      </c>
      <c r="H62" s="3">
        <f>VAR(E62/MAX(E62:F62), F62/MAX(E62:F62))</f>
        <v>4.7631755020774325E-2</v>
      </c>
      <c r="I62" s="3">
        <f>4/3 * 3.14 * E62*F62*F62</f>
        <v>35.83477766713542</v>
      </c>
    </row>
    <row r="63" spans="1:9" x14ac:dyDescent="0.25">
      <c r="A63" s="1" t="s">
        <v>85</v>
      </c>
      <c r="B63" s="2" t="s">
        <v>12</v>
      </c>
      <c r="C63" s="2" t="s">
        <v>4</v>
      </c>
      <c r="D63" s="2" t="s">
        <v>8</v>
      </c>
      <c r="E63" s="3">
        <v>1.49888888888889</v>
      </c>
      <c r="F63" s="3">
        <v>1.17444444444444</v>
      </c>
      <c r="G63" s="3">
        <v>0.35</v>
      </c>
      <c r="H63" s="3">
        <f>VAR(E63/MAX(E63:F63), F63/MAX(E63:F63))</f>
        <v>2.3426737319081292E-2</v>
      </c>
      <c r="I63" s="3">
        <f>4/3 * 3.14 * E63*F63*F63</f>
        <v>8.6557116582349654</v>
      </c>
    </row>
    <row r="64" spans="1:9" x14ac:dyDescent="0.25">
      <c r="A64" s="1" t="s">
        <v>87</v>
      </c>
      <c r="B64" s="2" t="s">
        <v>12</v>
      </c>
      <c r="C64" s="2" t="s">
        <v>4</v>
      </c>
      <c r="D64" s="2" t="s">
        <v>8</v>
      </c>
      <c r="E64" s="3">
        <v>2</v>
      </c>
      <c r="F64" s="3">
        <v>1.5</v>
      </c>
      <c r="H64" s="3">
        <f>VAR(E64/MAX(E64:F64), F64/MAX(E64:F64))</f>
        <v>3.125E-2</v>
      </c>
      <c r="I64" s="3">
        <f>4/3 * 3.14 * E64*F64*F64</f>
        <v>18.839999999999996</v>
      </c>
    </row>
    <row r="65" spans="1:9" x14ac:dyDescent="0.25">
      <c r="A65" s="1" t="s">
        <v>93</v>
      </c>
      <c r="B65" s="2" t="s">
        <v>12</v>
      </c>
      <c r="C65" s="2" t="s">
        <v>4</v>
      </c>
      <c r="D65" s="2" t="s">
        <v>8</v>
      </c>
      <c r="E65" s="3">
        <v>3.7816666666666698</v>
      </c>
      <c r="F65" s="3">
        <v>2.18333333333333</v>
      </c>
      <c r="G65" s="3">
        <v>5.55</v>
      </c>
      <c r="H65" s="3">
        <f>VAR(E65/MAX(E65:F65), F65/MAX(E65:F65))</f>
        <v>8.9317843096084815E-2</v>
      </c>
      <c r="I65" s="3">
        <f>4/3 * 3.14 * E65*F65*F65</f>
        <v>75.473018679012171</v>
      </c>
    </row>
    <row r="66" spans="1:9" x14ac:dyDescent="0.25">
      <c r="A66" s="1" t="s">
        <v>97</v>
      </c>
      <c r="B66" s="2" t="s">
        <v>12</v>
      </c>
      <c r="C66" s="2" t="s">
        <v>4</v>
      </c>
      <c r="D66" s="2" t="s">
        <v>8</v>
      </c>
      <c r="E66" s="3">
        <v>1.4350000000000001</v>
      </c>
      <c r="F66" s="3">
        <v>1.1299999999999999</v>
      </c>
      <c r="H66" s="3">
        <f>VAR(E66/MAX(E66:F66), F66/MAX(E66:F66))</f>
        <v>2.2587381174956844E-2</v>
      </c>
      <c r="I66" s="3">
        <f>4/3 * 3.14 * E66*F66*F66</f>
        <v>7.6714449466666652</v>
      </c>
    </row>
    <row r="67" spans="1:9" x14ac:dyDescent="0.25">
      <c r="A67" s="1" t="s">
        <v>98</v>
      </c>
      <c r="B67" s="2" t="s">
        <v>12</v>
      </c>
      <c r="C67" s="2" t="s">
        <v>4</v>
      </c>
      <c r="D67" s="2" t="s">
        <v>8</v>
      </c>
      <c r="E67" s="3">
        <v>1.6225000000000001</v>
      </c>
      <c r="F67" s="3">
        <v>1.2437499999999999</v>
      </c>
      <c r="G67" s="3">
        <v>0.66923076923076896</v>
      </c>
      <c r="H67" s="3">
        <f>VAR(E67/MAX(E67:F67), F67/MAX(E67:F67))</f>
        <v>2.7246195996685652E-2</v>
      </c>
      <c r="I67" s="3">
        <f>4/3 * 3.14 * E67*F67*F67</f>
        <v>10.507980971354165</v>
      </c>
    </row>
    <row r="68" spans="1:9" x14ac:dyDescent="0.25">
      <c r="A68" s="1" t="s">
        <v>101</v>
      </c>
      <c r="B68" s="2" t="s">
        <v>12</v>
      </c>
      <c r="C68" s="2" t="s">
        <v>4</v>
      </c>
      <c r="D68" s="2" t="s">
        <v>8</v>
      </c>
      <c r="E68" s="3">
        <v>1.5525</v>
      </c>
      <c r="F68" s="3">
        <v>1.2625</v>
      </c>
      <c r="G68" s="3">
        <v>0.96</v>
      </c>
      <c r="H68" s="3">
        <f>VAR(E68/MAX(E68:F68), F68/MAX(E68:F68))</f>
        <v>1.7446277755736483E-2</v>
      </c>
      <c r="I68" s="3">
        <f>4/3 * 3.14 * E68*F68*F68</f>
        <v>10.360071843749997</v>
      </c>
    </row>
    <row r="69" spans="1:9" x14ac:dyDescent="0.25">
      <c r="A69" s="1" t="s">
        <v>110</v>
      </c>
      <c r="B69" s="2" t="s">
        <v>12</v>
      </c>
      <c r="C69" s="2" t="s">
        <v>4</v>
      </c>
      <c r="D69" s="2" t="s">
        <v>8</v>
      </c>
      <c r="E69" s="3">
        <v>2.2922222222222199</v>
      </c>
      <c r="F69" s="3">
        <v>1.6344444444444399</v>
      </c>
      <c r="H69" s="3">
        <f>VAR(E69/MAX(E69:F69), F69/MAX(E69:F69))</f>
        <v>4.1173232229840373E-2</v>
      </c>
      <c r="I69" s="3">
        <f>4/3 * 3.14 * E69*F69*F69</f>
        <v>25.636895302459823</v>
      </c>
    </row>
    <row r="70" spans="1:9" x14ac:dyDescent="0.25">
      <c r="A70" s="1" t="s">
        <v>111</v>
      </c>
      <c r="B70" s="2" t="s">
        <v>12</v>
      </c>
      <c r="C70" s="2" t="s">
        <v>4</v>
      </c>
      <c r="D70" s="2" t="s">
        <v>8</v>
      </c>
      <c r="E70" s="3">
        <v>2.2549999999999999</v>
      </c>
      <c r="F70" s="3">
        <v>1.3</v>
      </c>
      <c r="H70" s="3">
        <f>VAR(E70/MAX(E70:F70), F70/MAX(E70:F70))</f>
        <v>8.967753354211605E-2</v>
      </c>
      <c r="I70" s="3">
        <f>4/3 * 3.14 * E70*F70*F70</f>
        <v>15.955177333333333</v>
      </c>
    </row>
    <row r="71" spans="1:9" x14ac:dyDescent="0.25">
      <c r="A71" s="1" t="s">
        <v>112</v>
      </c>
      <c r="B71" s="2" t="s">
        <v>12</v>
      </c>
      <c r="C71" s="2" t="s">
        <v>4</v>
      </c>
      <c r="D71" s="2" t="s">
        <v>8</v>
      </c>
      <c r="E71" s="3">
        <v>1.4239999999999999</v>
      </c>
      <c r="F71" s="3">
        <v>1.0740000000000001</v>
      </c>
      <c r="G71" s="3">
        <v>0.15</v>
      </c>
      <c r="H71" s="3">
        <f>VAR(E71/MAX(E71:F71), F71/MAX(E71:F71))</f>
        <v>3.0205505933594168E-2</v>
      </c>
      <c r="I71" s="3">
        <f>4/3 * 3.14 * E71*F71*F71</f>
        <v>6.8768085964800001</v>
      </c>
    </row>
    <row r="72" spans="1:9" x14ac:dyDescent="0.25">
      <c r="A72" s="1" t="s">
        <v>114</v>
      </c>
      <c r="B72" s="2" t="s">
        <v>12</v>
      </c>
      <c r="C72" s="2" t="s">
        <v>4</v>
      </c>
      <c r="D72" s="2" t="s">
        <v>8</v>
      </c>
      <c r="E72" s="3">
        <v>1.1499999999999999</v>
      </c>
      <c r="F72" s="3">
        <v>0.95</v>
      </c>
      <c r="H72" s="3">
        <f>VAR(E72/MAX(E72:F72), F72/MAX(E72:F72))</f>
        <v>1.5122873345935726E-2</v>
      </c>
      <c r="I72" s="3">
        <f>4/3 * 3.14 * E72*F72*F72</f>
        <v>4.3452366666666649</v>
      </c>
    </row>
    <row r="73" spans="1:9" x14ac:dyDescent="0.25">
      <c r="A73" s="1" t="s">
        <v>126</v>
      </c>
      <c r="B73" s="2" t="s">
        <v>12</v>
      </c>
      <c r="C73" s="2" t="s">
        <v>4</v>
      </c>
      <c r="D73" s="2" t="s">
        <v>8</v>
      </c>
      <c r="E73" s="3">
        <v>1.5</v>
      </c>
      <c r="F73" s="3">
        <v>1</v>
      </c>
      <c r="H73" s="3">
        <f>VAR(E73/MAX(E73:F73), F73/MAX(E73:F73))</f>
        <v>5.5555555555555802E-2</v>
      </c>
      <c r="I73" s="3">
        <f>4/3 * 3.14 * E73*F73*F73</f>
        <v>6.2799999999999994</v>
      </c>
    </row>
    <row r="74" spans="1:9" x14ac:dyDescent="0.25">
      <c r="A74" s="1" t="s">
        <v>128</v>
      </c>
      <c r="B74" s="2" t="s">
        <v>12</v>
      </c>
      <c r="C74" s="2" t="s">
        <v>4</v>
      </c>
      <c r="D74" s="2" t="s">
        <v>8</v>
      </c>
      <c r="E74" s="3">
        <v>1.4319999999999999</v>
      </c>
      <c r="F74" s="3">
        <v>1.123</v>
      </c>
      <c r="G74" s="3">
        <v>0.35714285714285698</v>
      </c>
      <c r="H74" s="3">
        <f>VAR(E74/MAX(E74:F74), F74/MAX(E74:F74))</f>
        <v>2.3280962282700157E-2</v>
      </c>
      <c r="I74" s="3">
        <f>4/3 * 3.14 * E74*F74*F74</f>
        <v>7.5608551012266654</v>
      </c>
    </row>
    <row r="75" spans="1:9" x14ac:dyDescent="0.25">
      <c r="A75" s="1" t="s">
        <v>138</v>
      </c>
      <c r="B75" s="2" t="s">
        <v>12</v>
      </c>
      <c r="C75" s="2" t="s">
        <v>4</v>
      </c>
      <c r="D75" s="2" t="s">
        <v>8</v>
      </c>
      <c r="E75" s="3">
        <v>3.24</v>
      </c>
      <c r="F75" s="3">
        <v>2.165</v>
      </c>
      <c r="G75" s="3">
        <v>1.5</v>
      </c>
      <c r="H75" s="3">
        <f>VAR(E75/MAX(E75:F75), F75/MAX(E75:F75))</f>
        <v>5.5042343011736161E-2</v>
      </c>
      <c r="I75" s="3">
        <f>4/3 * 3.14 * E75*F75*F75</f>
        <v>63.581269680000005</v>
      </c>
    </row>
    <row r="76" spans="1:9" x14ac:dyDescent="0.25">
      <c r="A76" s="1" t="s">
        <v>156</v>
      </c>
      <c r="B76" s="2" t="s">
        <v>12</v>
      </c>
      <c r="C76" s="2" t="s">
        <v>4</v>
      </c>
      <c r="D76" s="2" t="s">
        <v>8</v>
      </c>
      <c r="E76" s="3">
        <v>2.5</v>
      </c>
    </row>
    <row r="77" spans="1:9" x14ac:dyDescent="0.25">
      <c r="A77" s="1" t="s">
        <v>161</v>
      </c>
      <c r="B77" s="2" t="s">
        <v>12</v>
      </c>
      <c r="C77" s="2" t="s">
        <v>4</v>
      </c>
      <c r="D77" s="2" t="s">
        <v>8</v>
      </c>
      <c r="E77" s="3">
        <v>1.35</v>
      </c>
      <c r="F77" s="3">
        <v>1.35</v>
      </c>
      <c r="H77" s="3">
        <f>VAR(E77/MAX(E77:F77), F77/MAX(E77:F77))</f>
        <v>0</v>
      </c>
      <c r="I77" s="3">
        <f>4/3 * 3.14 * E77*F77*F77</f>
        <v>10.300770000000002</v>
      </c>
    </row>
    <row r="78" spans="1:9" x14ac:dyDescent="0.25">
      <c r="A78" s="1" t="s">
        <v>162</v>
      </c>
      <c r="B78" s="2" t="s">
        <v>12</v>
      </c>
      <c r="C78" s="2" t="s">
        <v>4</v>
      </c>
      <c r="D78" s="2" t="s">
        <v>8</v>
      </c>
      <c r="E78" s="3">
        <v>1.5481818181818201</v>
      </c>
      <c r="F78" s="3">
        <v>1.2736363636363599</v>
      </c>
      <c r="G78" s="3">
        <v>0.48</v>
      </c>
      <c r="H78" s="3">
        <f>VAR(E78/MAX(E78:F78), F78/MAX(E78:F78))</f>
        <v>1.5723694395818288E-2</v>
      </c>
      <c r="I78" s="3">
        <f>4/3 * 3.14 * E78*F78*F78</f>
        <v>10.514321385845179</v>
      </c>
    </row>
    <row r="79" spans="1:9" x14ac:dyDescent="0.25">
      <c r="A79" s="1" t="s">
        <v>169</v>
      </c>
      <c r="B79" s="2" t="s">
        <v>12</v>
      </c>
      <c r="C79" s="2" t="s">
        <v>4</v>
      </c>
      <c r="D79" s="2" t="s">
        <v>8</v>
      </c>
      <c r="E79" s="3">
        <v>1.2450000000000001</v>
      </c>
      <c r="F79" s="3">
        <v>0.91</v>
      </c>
      <c r="G79" s="3">
        <v>0.233333333333333</v>
      </c>
      <c r="H79" s="3">
        <f>VAR(E79/MAX(E79:F79), F79/MAX(E79:F79))</f>
        <v>3.6201029015660913E-2</v>
      </c>
      <c r="I79" s="3">
        <f>4/3 * 3.14 * E79*F79*F79</f>
        <v>4.3163884400000008</v>
      </c>
    </row>
    <row r="80" spans="1:9" x14ac:dyDescent="0.25">
      <c r="A80" s="1" t="s">
        <v>172</v>
      </c>
      <c r="B80" s="2" t="s">
        <v>12</v>
      </c>
      <c r="C80" s="2" t="s">
        <v>4</v>
      </c>
      <c r="D80" s="2" t="s">
        <v>8</v>
      </c>
      <c r="E80" s="3">
        <v>2.3266666666666702</v>
      </c>
      <c r="F80" s="3">
        <v>1.0833333333333299</v>
      </c>
      <c r="G80" s="3">
        <v>1</v>
      </c>
      <c r="H80" s="3">
        <f>VAR(E80/MAX(E80:F80), F80/MAX(E80:F80))</f>
        <v>0.14278310522902227</v>
      </c>
      <c r="I80" s="3">
        <f>4/3 * 3.14 * E80*F80*F80</f>
        <v>11.432119753086363</v>
      </c>
    </row>
    <row r="81" spans="1:9" x14ac:dyDescent="0.25">
      <c r="A81" s="1" t="s">
        <v>173</v>
      </c>
      <c r="B81" s="2" t="s">
        <v>12</v>
      </c>
      <c r="C81" s="2" t="s">
        <v>4</v>
      </c>
      <c r="D81" s="2" t="s">
        <v>8</v>
      </c>
      <c r="E81" s="3">
        <v>1.95</v>
      </c>
      <c r="F81" s="3">
        <v>1.4</v>
      </c>
      <c r="H81" s="3">
        <f>VAR(E81/MAX(E81:F81), F81/MAX(E81:F81))</f>
        <v>3.9776462853385874E-2</v>
      </c>
      <c r="I81" s="3">
        <f>4/3 * 3.14 * E81*F81*F81</f>
        <v>16.001439999999999</v>
      </c>
    </row>
    <row r="82" spans="1:9" x14ac:dyDescent="0.25">
      <c r="A82" s="1" t="s">
        <v>175</v>
      </c>
      <c r="B82" s="2" t="s">
        <v>12</v>
      </c>
      <c r="C82" s="2" t="s">
        <v>4</v>
      </c>
      <c r="D82" s="2" t="s">
        <v>8</v>
      </c>
      <c r="E82" s="3">
        <v>1.26571428571429</v>
      </c>
      <c r="F82" s="3">
        <v>0.98</v>
      </c>
      <c r="G82" s="3">
        <v>0.26</v>
      </c>
      <c r="H82" s="3">
        <f>VAR(E82/MAX(E82:F82), F82/MAX(E82:F82))</f>
        <v>2.5477836829742362E-2</v>
      </c>
      <c r="I82" s="3">
        <f>4/3 * 3.14 * E82*F82*F82</f>
        <v>5.0892785066666839</v>
      </c>
    </row>
    <row r="83" spans="1:9" x14ac:dyDescent="0.25">
      <c r="A83" s="1" t="s">
        <v>178</v>
      </c>
      <c r="B83" s="2" t="s">
        <v>12</v>
      </c>
      <c r="C83" s="2" t="s">
        <v>4</v>
      </c>
      <c r="D83" s="2" t="s">
        <v>8</v>
      </c>
      <c r="E83" s="3">
        <v>1.1966666666666701</v>
      </c>
      <c r="F83" s="3">
        <v>0.96666666666666701</v>
      </c>
      <c r="H83" s="3">
        <f>VAR(E83/MAX(E83:F83), F83/MAX(E83:F83))</f>
        <v>1.8470527075364451E-2</v>
      </c>
      <c r="I83" s="3">
        <f>4/3 * 3.14 * E83*F83*F83</f>
        <v>4.6816081975308803</v>
      </c>
    </row>
    <row r="84" spans="1:9" x14ac:dyDescent="0.25">
      <c r="A84" s="1" t="s">
        <v>185</v>
      </c>
      <c r="B84" s="2" t="s">
        <v>12</v>
      </c>
      <c r="C84" s="2" t="s">
        <v>4</v>
      </c>
      <c r="D84" s="2" t="s">
        <v>8</v>
      </c>
      <c r="E84" s="3">
        <v>1.66</v>
      </c>
      <c r="F84" s="3">
        <v>0.99666666666666703</v>
      </c>
      <c r="G84" s="3">
        <v>0.22500000000000001</v>
      </c>
      <c r="H84" s="3">
        <f>VAR(E84/MAX(E84:F84), F84/MAX(E84:F84))</f>
        <v>7.9839438073578961E-2</v>
      </c>
      <c r="I84" s="3">
        <f>4/3 * 3.14 * E84*F84*F84</f>
        <v>6.9036114429629674</v>
      </c>
    </row>
    <row r="85" spans="1:9" x14ac:dyDescent="0.25">
      <c r="A85" s="1" t="s">
        <v>186</v>
      </c>
      <c r="B85" s="2" t="s">
        <v>12</v>
      </c>
      <c r="C85" s="2" t="s">
        <v>4</v>
      </c>
      <c r="D85" s="2" t="s">
        <v>8</v>
      </c>
      <c r="E85" s="3">
        <v>1.01</v>
      </c>
      <c r="F85" s="3">
        <v>0.79666666666666697</v>
      </c>
      <c r="G85" s="3">
        <v>0.31</v>
      </c>
      <c r="H85" s="3">
        <f>VAR(E85/MAX(E85:F85), F85/MAX(E85:F85))</f>
        <v>2.2307181213170768E-2</v>
      </c>
      <c r="I85" s="3">
        <f>4/3 * 3.14 * E85*F85*F85</f>
        <v>2.6837561392592613</v>
      </c>
    </row>
    <row r="86" spans="1:9" x14ac:dyDescent="0.25">
      <c r="A86" s="1" t="s">
        <v>190</v>
      </c>
      <c r="B86" s="2" t="s">
        <v>12</v>
      </c>
      <c r="C86" s="2" t="s">
        <v>4</v>
      </c>
      <c r="D86" s="2" t="s">
        <v>8</v>
      </c>
      <c r="E86" s="3">
        <v>2.246</v>
      </c>
      <c r="F86" s="3">
        <v>1.641</v>
      </c>
      <c r="G86" s="3">
        <v>1.6</v>
      </c>
      <c r="H86" s="3">
        <f>VAR(E86/MAX(E86:F86), F86/MAX(E86:F86))</f>
        <v>3.6279496387760624E-2</v>
      </c>
      <c r="I86" s="3">
        <f>4/3 * 3.14 * E86*F86*F86</f>
        <v>25.321842239520002</v>
      </c>
    </row>
    <row r="87" spans="1:9" x14ac:dyDescent="0.25">
      <c r="A87" s="1" t="s">
        <v>199</v>
      </c>
      <c r="B87" s="2" t="s">
        <v>12</v>
      </c>
      <c r="C87" s="2" t="s">
        <v>4</v>
      </c>
      <c r="D87" s="2" t="s">
        <v>8</v>
      </c>
      <c r="E87" s="3">
        <v>1.5</v>
      </c>
      <c r="F87" s="3">
        <v>1.0649999999999999</v>
      </c>
      <c r="H87" s="3">
        <f>VAR(E87/MAX(E87:F87), F87/MAX(E87:F87))</f>
        <v>4.2050000000000143E-2</v>
      </c>
      <c r="I87" s="3">
        <f>4/3 * 3.14 * E87*F87*F87</f>
        <v>7.1229329999999988</v>
      </c>
    </row>
    <row r="88" spans="1:9" x14ac:dyDescent="0.25">
      <c r="A88" s="1" t="s">
        <v>202</v>
      </c>
      <c r="B88" s="2" t="s">
        <v>12</v>
      </c>
      <c r="C88" s="2" t="s">
        <v>4</v>
      </c>
      <c r="D88" s="2" t="s">
        <v>8</v>
      </c>
      <c r="E88" s="3">
        <v>1.855</v>
      </c>
      <c r="F88" s="3">
        <v>1.3149999999999999</v>
      </c>
      <c r="G88" s="3">
        <v>7.5</v>
      </c>
      <c r="H88" s="3">
        <f>VAR(E88/MAX(E88:F88), F88/MAX(E88:F88))</f>
        <v>4.2371095821739146E-2</v>
      </c>
      <c r="I88" s="3">
        <f>4/3 * 3.14 * E88*F88*F88</f>
        <v>13.429622476666664</v>
      </c>
    </row>
    <row r="89" spans="1:9" x14ac:dyDescent="0.25">
      <c r="A89" s="1" t="s">
        <v>206</v>
      </c>
      <c r="B89" s="2" t="s">
        <v>12</v>
      </c>
      <c r="C89" s="2" t="s">
        <v>4</v>
      </c>
      <c r="D89" s="2" t="s">
        <v>8</v>
      </c>
      <c r="E89" s="3">
        <v>2.4140000000000001</v>
      </c>
      <c r="F89" s="3">
        <v>1.6839999999999999</v>
      </c>
      <c r="G89" s="3">
        <v>0.97499999999999998</v>
      </c>
      <c r="H89" s="3">
        <f>VAR(E89/MAX(E89:F89), F89/MAX(E89:F89))</f>
        <v>4.5723681726795196E-2</v>
      </c>
      <c r="I89" s="3">
        <f>4/3 * 3.14 * E89*F89*F89</f>
        <v>28.660900061013329</v>
      </c>
    </row>
    <row r="90" spans="1:9" x14ac:dyDescent="0.25">
      <c r="A90" s="1" t="s">
        <v>215</v>
      </c>
      <c r="B90" s="2" t="s">
        <v>12</v>
      </c>
      <c r="C90" s="2" t="s">
        <v>4</v>
      </c>
      <c r="D90" s="2" t="s">
        <v>8</v>
      </c>
      <c r="E90" s="3">
        <v>2.31666666666667</v>
      </c>
      <c r="F90" s="3">
        <v>2.1466666666666701</v>
      </c>
      <c r="G90" s="3">
        <v>1.63333333333333</v>
      </c>
      <c r="H90" s="3">
        <f>VAR(E90/MAX(E90:F90), F90/MAX(E90:F90))</f>
        <v>2.6924072252988902E-3</v>
      </c>
      <c r="I90" s="3">
        <f>4/3 * 3.14 * E90*F90*F90</f>
        <v>44.695228286419955</v>
      </c>
    </row>
    <row r="91" spans="1:9" x14ac:dyDescent="0.25">
      <c r="A91" s="1" t="s">
        <v>216</v>
      </c>
      <c r="B91" s="2" t="s">
        <v>12</v>
      </c>
      <c r="C91" s="2" t="s">
        <v>4</v>
      </c>
      <c r="D91" s="2" t="s">
        <v>8</v>
      </c>
      <c r="E91" s="3">
        <v>1.3149999999999999</v>
      </c>
      <c r="F91" s="3">
        <v>1.1074999999999999</v>
      </c>
      <c r="H91" s="3">
        <f>VAR(E91/MAX(E91:F91), F91/MAX(E91:F91))</f>
        <v>1.2449580014168208E-2</v>
      </c>
      <c r="I91" s="3">
        <f>4/3 * 3.14 * E91*F91*F91</f>
        <v>6.752764549166665</v>
      </c>
    </row>
    <row r="92" spans="1:9" x14ac:dyDescent="0.25">
      <c r="A92" s="1" t="s">
        <v>225</v>
      </c>
      <c r="B92" s="2" t="s">
        <v>12</v>
      </c>
      <c r="C92" s="2" t="s">
        <v>4</v>
      </c>
      <c r="D92" s="2" t="s">
        <v>8</v>
      </c>
      <c r="E92" s="3">
        <v>1.4550000000000001</v>
      </c>
      <c r="F92" s="3">
        <v>1.1399999999999999</v>
      </c>
      <c r="G92" s="3">
        <v>0.9</v>
      </c>
      <c r="H92" s="3">
        <f>VAR(E92/MAX(E92:F92), F92/MAX(E92:F92))</f>
        <v>2.343500903390372E-2</v>
      </c>
      <c r="I92" s="3">
        <f>4/3 * 3.14 * E92*F92*F92</f>
        <v>7.9166433599999984</v>
      </c>
    </row>
    <row r="93" spans="1:9" x14ac:dyDescent="0.25">
      <c r="A93" s="1" t="s">
        <v>247</v>
      </c>
      <c r="B93" s="2" t="s">
        <v>12</v>
      </c>
      <c r="C93" s="2" t="s">
        <v>4</v>
      </c>
      <c r="D93" s="2" t="s">
        <v>8</v>
      </c>
      <c r="E93" s="3">
        <v>1.3333333333333299</v>
      </c>
      <c r="F93" s="3">
        <v>0.913333333333333</v>
      </c>
      <c r="H93" s="3">
        <f>VAR(E93/MAX(E93:F93), F93/MAX(E93:F93))</f>
        <v>4.9612499999999615E-2</v>
      </c>
      <c r="I93" s="3">
        <f>4/3 * 3.14 * E93*F93*F93</f>
        <v>4.6565657283950461</v>
      </c>
    </row>
    <row r="94" spans="1:9" x14ac:dyDescent="0.25">
      <c r="A94" s="1" t="s">
        <v>27</v>
      </c>
      <c r="B94" s="2" t="s">
        <v>12</v>
      </c>
      <c r="C94" s="2" t="s">
        <v>4</v>
      </c>
      <c r="D94" s="2" t="s">
        <v>4</v>
      </c>
      <c r="E94" s="3">
        <v>3</v>
      </c>
      <c r="F94" s="3">
        <v>2.5</v>
      </c>
      <c r="H94" s="3">
        <f>VAR(E94/MAX(E94:F94), F94/MAX(E94:F94))</f>
        <v>1.3888888888888883E-2</v>
      </c>
      <c r="I94" s="3">
        <f>4/3 * 3.14 * E94*F94*F94</f>
        <v>78.5</v>
      </c>
    </row>
    <row r="95" spans="1:9" x14ac:dyDescent="0.25">
      <c r="A95" s="1" t="s">
        <v>42</v>
      </c>
      <c r="B95" s="2" t="s">
        <v>12</v>
      </c>
      <c r="C95" s="2" t="s">
        <v>4</v>
      </c>
      <c r="D95" s="2" t="s">
        <v>4</v>
      </c>
      <c r="E95" s="3">
        <v>2.7719999999999998</v>
      </c>
      <c r="F95" s="3">
        <v>2.2229999999999999</v>
      </c>
      <c r="G95" s="3">
        <v>2.9666666666666699</v>
      </c>
      <c r="H95" s="3">
        <f>VAR(E95/MAX(E95:F95), F95/MAX(E95:F95))</f>
        <v>1.9612287063585754E-2</v>
      </c>
      <c r="I95" s="3">
        <f>4/3 * 3.14 * E95*F95*F95</f>
        <v>57.350939405759988</v>
      </c>
    </row>
    <row r="96" spans="1:9" x14ac:dyDescent="0.25">
      <c r="A96" s="1" t="s">
        <v>44</v>
      </c>
      <c r="B96" s="2" t="s">
        <v>12</v>
      </c>
      <c r="C96" s="2" t="s">
        <v>4</v>
      </c>
      <c r="D96" s="2" t="s">
        <v>4</v>
      </c>
      <c r="E96" s="3">
        <v>2.46</v>
      </c>
      <c r="F96" s="3">
        <v>1.73</v>
      </c>
      <c r="G96" s="3">
        <v>3.6285714285714299</v>
      </c>
      <c r="H96" s="3">
        <f>VAR(E96/MAX(E96:F96), F96/MAX(E96:F96))</f>
        <v>4.4029678101659142E-2</v>
      </c>
      <c r="I96" s="3">
        <f>4/3 * 3.14 * E96*F96*F96</f>
        <v>30.824475679999995</v>
      </c>
    </row>
    <row r="97" spans="1:9" x14ac:dyDescent="0.25">
      <c r="A97" s="1" t="s">
        <v>66</v>
      </c>
      <c r="B97" s="2" t="s">
        <v>12</v>
      </c>
      <c r="C97" s="2" t="s">
        <v>4</v>
      </c>
      <c r="D97" s="2" t="s">
        <v>4</v>
      </c>
      <c r="E97" s="3">
        <v>3.75</v>
      </c>
      <c r="F97" s="3">
        <v>2.62</v>
      </c>
      <c r="H97" s="3">
        <f>VAR(E97/MAX(E97:F97), F97/MAX(E97:F97))</f>
        <v>4.5400888888889268E-2</v>
      </c>
      <c r="I97" s="3">
        <f>4/3 * 3.14 * E97*F97*F97</f>
        <v>107.77108000000001</v>
      </c>
    </row>
    <row r="98" spans="1:9" x14ac:dyDescent="0.25">
      <c r="A98" s="1" t="s">
        <v>120</v>
      </c>
      <c r="B98" s="2" t="s">
        <v>12</v>
      </c>
      <c r="C98" s="2" t="s">
        <v>4</v>
      </c>
      <c r="D98" s="2" t="s">
        <v>4</v>
      </c>
      <c r="E98" s="3">
        <v>2.4928571428571402</v>
      </c>
      <c r="F98" s="3">
        <v>1.77857142857143</v>
      </c>
      <c r="H98" s="3">
        <f>VAR(E98/MAX(E98:F98), F98/MAX(E98:F98))</f>
        <v>4.1050566087305729E-2</v>
      </c>
      <c r="I98" s="3">
        <f>4/3 * 3.14 * E98*F98*F98</f>
        <v>33.014779329446078</v>
      </c>
    </row>
    <row r="99" spans="1:9" x14ac:dyDescent="0.25">
      <c r="A99" s="1" t="s">
        <v>122</v>
      </c>
      <c r="B99" s="2" t="s">
        <v>12</v>
      </c>
      <c r="C99" s="2" t="s">
        <v>4</v>
      </c>
      <c r="D99" s="2" t="s">
        <v>4</v>
      </c>
      <c r="E99" s="3">
        <v>2.15</v>
      </c>
      <c r="F99" s="3">
        <v>2.15</v>
      </c>
      <c r="H99" s="3">
        <f>VAR(E99/MAX(E99:F99), F99/MAX(E99:F99))</f>
        <v>0</v>
      </c>
      <c r="I99" s="3">
        <f>4/3 * 3.14 * E99*F99*F99</f>
        <v>41.608663333333325</v>
      </c>
    </row>
    <row r="100" spans="1:9" x14ac:dyDescent="0.25">
      <c r="A100" s="1" t="s">
        <v>144</v>
      </c>
      <c r="B100" s="2" t="s">
        <v>12</v>
      </c>
      <c r="C100" s="2" t="s">
        <v>4</v>
      </c>
      <c r="D100" s="2" t="s">
        <v>4</v>
      </c>
      <c r="E100" s="3">
        <v>2.5</v>
      </c>
      <c r="F100" s="3">
        <v>3</v>
      </c>
      <c r="H100" s="3">
        <f>VAR(E100/MAX(E100:F100), F100/MAX(E100:F100))</f>
        <v>1.3888888888888883E-2</v>
      </c>
      <c r="I100" s="3">
        <f>4/3 * 3.14 * E100*F100*F100</f>
        <v>94.199999999999989</v>
      </c>
    </row>
    <row r="101" spans="1:9" x14ac:dyDescent="0.25">
      <c r="A101" s="1" t="s">
        <v>166</v>
      </c>
      <c r="B101" s="2" t="s">
        <v>12</v>
      </c>
      <c r="C101" s="2" t="s">
        <v>4</v>
      </c>
      <c r="D101" s="2" t="s">
        <v>4</v>
      </c>
      <c r="E101" s="3">
        <v>3.7675000000000001</v>
      </c>
      <c r="F101" s="3">
        <v>3.5474999999999999</v>
      </c>
      <c r="G101" s="3">
        <v>9.1999999999999993</v>
      </c>
      <c r="H101" s="3">
        <f>VAR(E101/MAX(E101:F101), F101/MAX(E101:F101))</f>
        <v>1.704938995151582E-3</v>
      </c>
      <c r="I101" s="3">
        <f>4/3 * 3.14 * E101*F101*F101</f>
        <v>198.50271626624999</v>
      </c>
    </row>
    <row r="102" spans="1:9" x14ac:dyDescent="0.25">
      <c r="A102" s="1" t="s">
        <v>168</v>
      </c>
      <c r="B102" s="2" t="s">
        <v>12</v>
      </c>
      <c r="C102" s="2" t="s">
        <v>4</v>
      </c>
      <c r="D102" s="2" t="s">
        <v>4</v>
      </c>
      <c r="E102" s="3">
        <v>2.8236363636363602</v>
      </c>
      <c r="F102" s="3">
        <v>2.23</v>
      </c>
      <c r="G102" s="3">
        <v>5.6875</v>
      </c>
      <c r="H102" s="3">
        <f>VAR(E102/MAX(E102:F102), F102/MAX(E102:F102))</f>
        <v>2.210006057693592E-2</v>
      </c>
      <c r="I102" s="3">
        <f>4/3 * 3.14 * E102*F102*F102</f>
        <v>58.787755195151448</v>
      </c>
    </row>
    <row r="103" spans="1:9" x14ac:dyDescent="0.25">
      <c r="A103" s="1" t="s">
        <v>210</v>
      </c>
      <c r="B103" s="2" t="s">
        <v>12</v>
      </c>
      <c r="C103" s="2" t="s">
        <v>4</v>
      </c>
      <c r="D103" s="2" t="s">
        <v>4</v>
      </c>
      <c r="E103" s="3">
        <v>3.2</v>
      </c>
      <c r="F103" s="3">
        <v>2.5299999999999998</v>
      </c>
      <c r="H103" s="3">
        <f>VAR(E103/MAX(E103:F103), F103/MAX(E103:F103))</f>
        <v>2.1918945312499938E-2</v>
      </c>
      <c r="I103" s="3">
        <f>4/3 * 3.14 * E103*F103*F103</f>
        <v>85.754990933333318</v>
      </c>
    </row>
    <row r="104" spans="1:9" x14ac:dyDescent="0.25">
      <c r="A104" s="1" t="s">
        <v>211</v>
      </c>
      <c r="B104" s="2" t="s">
        <v>12</v>
      </c>
      <c r="C104" s="2" t="s">
        <v>4</v>
      </c>
      <c r="D104" s="2" t="s">
        <v>4</v>
      </c>
      <c r="E104" s="3">
        <v>3.1114285714285699</v>
      </c>
      <c r="F104" s="3">
        <v>2.2000000000000002</v>
      </c>
      <c r="G104" s="3">
        <v>8.6999999999999993</v>
      </c>
      <c r="H104" s="3">
        <f>VAR(E104/MAX(E104:F104), F104/MAX(E104:F104))</f>
        <v>4.2903785328027411E-2</v>
      </c>
      <c r="I104" s="3">
        <f>4/3 * 3.14 * E104*F104*F104</f>
        <v>63.048329142857128</v>
      </c>
    </row>
    <row r="105" spans="1:9" x14ac:dyDescent="0.25">
      <c r="A105" s="1" t="s">
        <v>217</v>
      </c>
      <c r="B105" s="2" t="s">
        <v>12</v>
      </c>
      <c r="C105" s="2" t="s">
        <v>4</v>
      </c>
      <c r="D105" s="2" t="s">
        <v>4</v>
      </c>
      <c r="E105" s="3">
        <v>2.5150000000000001</v>
      </c>
      <c r="F105" s="3">
        <v>2.1850000000000001</v>
      </c>
      <c r="H105" s="3">
        <f>VAR(E105/MAX(E105:F105), F105/MAX(E105:F105))</f>
        <v>8.6083894248821201E-3</v>
      </c>
      <c r="I105" s="3">
        <f>4/3 * 3.14 * E105*F105*F105</f>
        <v>50.27004299666666</v>
      </c>
    </row>
    <row r="106" spans="1:9" x14ac:dyDescent="0.25">
      <c r="A106" s="1" t="s">
        <v>227</v>
      </c>
      <c r="B106" s="2" t="s">
        <v>12</v>
      </c>
      <c r="C106" s="2" t="s">
        <v>4</v>
      </c>
      <c r="D106" s="2" t="s">
        <v>4</v>
      </c>
      <c r="E106" s="3">
        <v>2.5499999999999998</v>
      </c>
      <c r="F106" s="3">
        <v>1.7311111111111099</v>
      </c>
      <c r="G106" s="3">
        <v>2.8333333333333299</v>
      </c>
      <c r="H106" s="3">
        <f>VAR(E106/MAX(E106:F106), F106/MAX(E106:F106))</f>
        <v>5.1563168961605399E-2</v>
      </c>
      <c r="I106" s="3">
        <f>4/3 * 3.14 * E106*F106*F106</f>
        <v>31.993256869135752</v>
      </c>
    </row>
    <row r="107" spans="1:9" x14ac:dyDescent="0.25">
      <c r="A107" s="1" t="s">
        <v>229</v>
      </c>
      <c r="B107" s="2" t="s">
        <v>12</v>
      </c>
      <c r="C107" s="2" t="s">
        <v>4</v>
      </c>
      <c r="D107" s="2" t="s">
        <v>4</v>
      </c>
      <c r="E107" s="3">
        <v>4.41</v>
      </c>
      <c r="F107" s="3">
        <v>2.87</v>
      </c>
      <c r="H107" s="3">
        <f>VAR(E107/MAX(E107:F107), F107/MAX(E107:F107))</f>
        <v>6.0972537163013429E-2</v>
      </c>
      <c r="I107" s="3">
        <f>4/3 * 3.14 * E107*F107*F107</f>
        <v>152.07953208000001</v>
      </c>
    </row>
    <row r="108" spans="1:9" x14ac:dyDescent="0.25">
      <c r="A108" s="1" t="s">
        <v>243</v>
      </c>
      <c r="B108" s="2" t="s">
        <v>12</v>
      </c>
      <c r="C108" s="2" t="s">
        <v>4</v>
      </c>
      <c r="D108" s="2" t="s">
        <v>4</v>
      </c>
      <c r="E108" s="3">
        <v>4</v>
      </c>
      <c r="F108" s="3">
        <v>4</v>
      </c>
      <c r="H108" s="3">
        <f>VAR(E108/MAX(E108:F108), F108/MAX(E108:F108))</f>
        <v>0</v>
      </c>
      <c r="I108" s="3">
        <f>4/3 * 3.14 * E108*F108*F108</f>
        <v>267.94666666666666</v>
      </c>
    </row>
    <row r="109" spans="1:9" x14ac:dyDescent="0.25">
      <c r="A109" s="1" t="s">
        <v>7</v>
      </c>
      <c r="B109" s="2" t="s">
        <v>6</v>
      </c>
      <c r="C109" s="2" t="s">
        <v>8</v>
      </c>
      <c r="D109" s="2" t="s">
        <v>8</v>
      </c>
      <c r="E109" s="3">
        <v>3.1683333333333299</v>
      </c>
      <c r="F109" s="3">
        <v>2.51833333333333</v>
      </c>
      <c r="G109" s="3">
        <v>8.1555555555555603</v>
      </c>
      <c r="H109" s="3">
        <f>VAR(E109/MAX(E109:F109), F109/MAX(E109:F109))</f>
        <v>2.1044324244749779E-2</v>
      </c>
      <c r="I109" s="3">
        <f>4/3 * 3.14 * E109*F109*F109</f>
        <v>84.12511657987622</v>
      </c>
    </row>
    <row r="110" spans="1:9" x14ac:dyDescent="0.25">
      <c r="A110" s="1" t="s">
        <v>14</v>
      </c>
      <c r="B110" s="2" t="s">
        <v>6</v>
      </c>
      <c r="C110" s="2" t="s">
        <v>8</v>
      </c>
      <c r="D110" s="2" t="s">
        <v>8</v>
      </c>
      <c r="E110" s="3">
        <v>2.5</v>
      </c>
    </row>
    <row r="111" spans="1:9" x14ac:dyDescent="0.25">
      <c r="A111" s="1" t="s">
        <v>16</v>
      </c>
      <c r="B111" s="2" t="s">
        <v>6</v>
      </c>
      <c r="C111" s="2" t="s">
        <v>8</v>
      </c>
      <c r="D111" s="2" t="s">
        <v>8</v>
      </c>
      <c r="E111" s="3">
        <v>3.0366666666666702</v>
      </c>
      <c r="F111" s="3">
        <v>2.0544444444444401</v>
      </c>
      <c r="G111" s="3">
        <v>3.1</v>
      </c>
      <c r="H111" s="3">
        <f>VAR(E111/MAX(E111:F111), F111/MAX(E111:F111))</f>
        <v>5.2311270858578895E-2</v>
      </c>
      <c r="I111" s="3">
        <f>4/3 * 3.14 * E111*F111*F111</f>
        <v>53.660450000219313</v>
      </c>
    </row>
    <row r="112" spans="1:9" x14ac:dyDescent="0.25">
      <c r="A112" s="1" t="s">
        <v>19</v>
      </c>
      <c r="B112" s="2" t="s">
        <v>6</v>
      </c>
      <c r="C112" s="2" t="s">
        <v>8</v>
      </c>
      <c r="D112" s="2" t="s">
        <v>8</v>
      </c>
      <c r="E112" s="3">
        <v>2.78</v>
      </c>
      <c r="F112" s="3">
        <v>1.8825000000000001</v>
      </c>
      <c r="G112" s="3">
        <v>3.0333333333333301</v>
      </c>
      <c r="H112" s="3">
        <f>VAR(E112/MAX(E112:F112), F112/MAX(E112:F112))</f>
        <v>5.2113390223073264E-2</v>
      </c>
      <c r="I112" s="3">
        <f>4/3 * 3.14 * E112*F112*F112</f>
        <v>41.246124689999995</v>
      </c>
    </row>
    <row r="113" spans="1:9" x14ac:dyDescent="0.25">
      <c r="A113" s="1" t="s">
        <v>26</v>
      </c>
      <c r="B113" s="2" t="s">
        <v>6</v>
      </c>
      <c r="C113" s="2" t="s">
        <v>8</v>
      </c>
      <c r="D113" s="2" t="s">
        <v>8</v>
      </c>
      <c r="E113" s="3">
        <v>3.9</v>
      </c>
      <c r="F113" s="3">
        <v>3.42</v>
      </c>
      <c r="H113" s="3">
        <f>VAR(E113/MAX(E113:F113), F113/MAX(E113:F113))</f>
        <v>7.5739644970414209E-3</v>
      </c>
      <c r="I113" s="3">
        <f>4/3 * 3.14 * E113*F113*F113</f>
        <v>190.97881919999998</v>
      </c>
    </row>
    <row r="114" spans="1:9" x14ac:dyDescent="0.25">
      <c r="A114" s="1" t="s">
        <v>29</v>
      </c>
      <c r="B114" s="2" t="s">
        <v>6</v>
      </c>
      <c r="C114" s="2" t="s">
        <v>8</v>
      </c>
      <c r="D114" s="2" t="s">
        <v>8</v>
      </c>
      <c r="E114" s="3">
        <v>3.6025</v>
      </c>
      <c r="F114" s="3">
        <v>2.69</v>
      </c>
      <c r="G114" s="3">
        <v>7.1</v>
      </c>
      <c r="H114" s="3">
        <f>VAR(E114/MAX(E114:F114), F114/MAX(E114:F114))</f>
        <v>3.2079513369012158E-2</v>
      </c>
      <c r="I114" s="3">
        <f>4/3 * 3.14 * E114*F114*F114</f>
        <v>109.13823704666666</v>
      </c>
    </row>
    <row r="115" spans="1:9" x14ac:dyDescent="0.25">
      <c r="A115" s="1" t="s">
        <v>32</v>
      </c>
      <c r="B115" s="2" t="s">
        <v>6</v>
      </c>
      <c r="C115" s="2" t="s">
        <v>8</v>
      </c>
      <c r="D115" s="2" t="s">
        <v>8</v>
      </c>
      <c r="E115" s="3">
        <v>2.99</v>
      </c>
      <c r="F115" s="3">
        <v>2.02</v>
      </c>
      <c r="H115" s="3">
        <f>VAR(E115/MAX(E115:F115), F115/MAX(E115:F115))</f>
        <v>5.2622453887540388E-2</v>
      </c>
      <c r="I115" s="3">
        <f>4/3 * 3.14 * E115*F115*F115</f>
        <v>51.078991253333335</v>
      </c>
    </row>
    <row r="116" spans="1:9" x14ac:dyDescent="0.25">
      <c r="A116" s="1" t="s">
        <v>33</v>
      </c>
      <c r="B116" s="2" t="s">
        <v>6</v>
      </c>
      <c r="C116" s="2" t="s">
        <v>8</v>
      </c>
      <c r="D116" s="2" t="s">
        <v>8</v>
      </c>
      <c r="E116" s="3">
        <v>3.7042857142857102</v>
      </c>
      <c r="F116" s="3">
        <v>2.4071428571428601</v>
      </c>
      <c r="G116" s="3">
        <v>5.0333333333333297</v>
      </c>
      <c r="H116" s="3">
        <f>VAR(E116/MAX(E116:F116), F116/MAX(E116:F116))</f>
        <v>6.1310755513858117E-2</v>
      </c>
      <c r="I116" s="3">
        <f>4/3 * 3.14 * E116*F116*F116</f>
        <v>89.862105867832966</v>
      </c>
    </row>
    <row r="117" spans="1:9" x14ac:dyDescent="0.25">
      <c r="A117" s="1" t="s">
        <v>45</v>
      </c>
      <c r="B117" s="2" t="s">
        <v>6</v>
      </c>
      <c r="C117" s="2" t="s">
        <v>8</v>
      </c>
      <c r="D117" s="2" t="s">
        <v>8</v>
      </c>
      <c r="E117" s="3">
        <v>1.98</v>
      </c>
      <c r="F117" s="3">
        <v>1.38363636363636</v>
      </c>
      <c r="G117" s="3">
        <v>0.38</v>
      </c>
      <c r="H117" s="3">
        <f>VAR(E117/MAX(E117:F117), F117/MAX(E117:F117))</f>
        <v>4.5358839248146099E-2</v>
      </c>
      <c r="I117" s="3">
        <f>4/3 * 3.14 * E117*F117*F117</f>
        <v>15.870021294545371</v>
      </c>
    </row>
    <row r="118" spans="1:9" x14ac:dyDescent="0.25">
      <c r="A118" s="1" t="s">
        <v>48</v>
      </c>
      <c r="B118" s="2" t="s">
        <v>6</v>
      </c>
      <c r="C118" s="2" t="s">
        <v>8</v>
      </c>
      <c r="D118" s="2" t="s">
        <v>8</v>
      </c>
      <c r="E118" s="3">
        <v>3.74</v>
      </c>
      <c r="F118" s="3">
        <v>2.89</v>
      </c>
      <c r="G118" s="3">
        <v>6.7</v>
      </c>
      <c r="H118" s="3">
        <f>VAR(E118/MAX(E118:F118), F118/MAX(E118:F118))</f>
        <v>2.5826446280991622E-2</v>
      </c>
      <c r="I118" s="3">
        <f>4/3 * 3.14 * E118*F118*F118</f>
        <v>130.77829541333335</v>
      </c>
    </row>
    <row r="119" spans="1:9" x14ac:dyDescent="0.25">
      <c r="A119" s="1" t="s">
        <v>51</v>
      </c>
      <c r="B119" s="2" t="s">
        <v>6</v>
      </c>
      <c r="C119" s="2" t="s">
        <v>8</v>
      </c>
      <c r="D119" s="2" t="s">
        <v>8</v>
      </c>
      <c r="E119" s="3">
        <v>1.643</v>
      </c>
      <c r="F119" s="3">
        <v>1.206</v>
      </c>
      <c r="G119" s="3">
        <v>0.375</v>
      </c>
      <c r="H119" s="3">
        <f>VAR(E119/MAX(E119:F119), F119/MAX(E119:F119))</f>
        <v>3.5371848106779957E-2</v>
      </c>
      <c r="I119" s="3">
        <f>4/3 * 3.14 * E119*F119*F119</f>
        <v>10.00461921696</v>
      </c>
    </row>
    <row r="120" spans="1:9" x14ac:dyDescent="0.25">
      <c r="A120" s="1" t="s">
        <v>54</v>
      </c>
      <c r="B120" s="2" t="s">
        <v>6</v>
      </c>
      <c r="C120" s="2" t="s">
        <v>8</v>
      </c>
      <c r="D120" s="2" t="s">
        <v>8</v>
      </c>
      <c r="E120" s="3">
        <v>5.0933333333333302</v>
      </c>
      <c r="F120" s="3">
        <v>4.0133333333333301</v>
      </c>
      <c r="G120" s="3">
        <v>36.1666666666667</v>
      </c>
      <c r="H120" s="3">
        <f>VAR(E120/MAX(E120:F120), F120/MAX(E120:F120))</f>
        <v>2.2480880458321195E-2</v>
      </c>
      <c r="I120" s="3">
        <f>4/3 * 3.14 * E120*F120*F120</f>
        <v>343.46378265283874</v>
      </c>
    </row>
    <row r="121" spans="1:9" x14ac:dyDescent="0.25">
      <c r="A121" s="1" t="s">
        <v>55</v>
      </c>
      <c r="B121" s="2" t="s">
        <v>6</v>
      </c>
      <c r="C121" s="2" t="s">
        <v>8</v>
      </c>
      <c r="D121" s="2" t="s">
        <v>8</v>
      </c>
      <c r="E121" s="3">
        <v>2.5</v>
      </c>
      <c r="F121" s="3">
        <v>2.5</v>
      </c>
      <c r="H121" s="3">
        <f>VAR(E121/MAX(E121:F121), F121/MAX(E121:F121))</f>
        <v>0</v>
      </c>
      <c r="I121" s="3">
        <f>4/3 * 3.14 * E121*F121*F121</f>
        <v>65.416666666666671</v>
      </c>
    </row>
    <row r="122" spans="1:9" x14ac:dyDescent="0.25">
      <c r="A122" s="1" t="s">
        <v>59</v>
      </c>
      <c r="B122" s="2" t="s">
        <v>6</v>
      </c>
      <c r="C122" s="2" t="s">
        <v>8</v>
      </c>
      <c r="D122" s="2" t="s">
        <v>8</v>
      </c>
      <c r="E122" s="3">
        <v>3.55</v>
      </c>
      <c r="F122" s="3">
        <v>2.17</v>
      </c>
      <c r="H122" s="3">
        <f>VAR(E122/MAX(E122:F122), F122/MAX(E122:F122))</f>
        <v>7.555643721483829E-2</v>
      </c>
      <c r="I122" s="3">
        <f>4/3 * 3.14 * E122*F122*F122</f>
        <v>69.986811066666661</v>
      </c>
    </row>
    <row r="123" spans="1:9" x14ac:dyDescent="0.25">
      <c r="A123" s="1" t="s">
        <v>64</v>
      </c>
      <c r="B123" s="2" t="s">
        <v>6</v>
      </c>
      <c r="C123" s="2" t="s">
        <v>8</v>
      </c>
      <c r="D123" s="2" t="s">
        <v>8</v>
      </c>
      <c r="E123" s="3">
        <v>3.5733333333333301</v>
      </c>
      <c r="F123" s="3">
        <v>2.27</v>
      </c>
      <c r="G123" s="3">
        <v>2.625</v>
      </c>
      <c r="H123" s="3">
        <f>VAR(E123/MAX(E123:F123), F123/MAX(E123:F123))</f>
        <v>6.6517198290264812E-2</v>
      </c>
      <c r="I123" s="3">
        <f>4/3 * 3.14 * E123*F123*F123</f>
        <v>77.089216142222142</v>
      </c>
    </row>
    <row r="124" spans="1:9" x14ac:dyDescent="0.25">
      <c r="A124" s="1" t="s">
        <v>70</v>
      </c>
      <c r="B124" s="2" t="s">
        <v>6</v>
      </c>
      <c r="C124" s="2" t="s">
        <v>8</v>
      </c>
      <c r="D124" s="2" t="s">
        <v>8</v>
      </c>
      <c r="E124" s="3">
        <v>4.5330000000000004</v>
      </c>
      <c r="F124" s="3">
        <v>4.952</v>
      </c>
      <c r="G124" s="3">
        <v>85.6</v>
      </c>
      <c r="H124" s="3">
        <f>VAR(E124/MAX(E124:F124), F124/MAX(E124:F124))</f>
        <v>3.5796187829659036E-3</v>
      </c>
      <c r="I124" s="3">
        <f>4/3 * 3.14 * E124*F124*F124</f>
        <v>465.38820888064009</v>
      </c>
    </row>
    <row r="125" spans="1:9" x14ac:dyDescent="0.25">
      <c r="A125" s="1" t="s">
        <v>73</v>
      </c>
      <c r="B125" s="2" t="s">
        <v>6</v>
      </c>
      <c r="C125" s="2" t="s">
        <v>8</v>
      </c>
      <c r="D125" s="2" t="s">
        <v>8</v>
      </c>
      <c r="E125" s="3">
        <v>1.8009999999999999</v>
      </c>
      <c r="F125" s="3">
        <v>1.1930000000000001</v>
      </c>
      <c r="G125" s="3">
        <v>0.72499999999999998</v>
      </c>
      <c r="H125" s="3">
        <f>VAR(E125/MAX(E125:F125), F125/MAX(E125:F125))</f>
        <v>5.6983580902829845E-2</v>
      </c>
      <c r="I125" s="3">
        <f>4/3 * 3.14 * E125*F125*F125</f>
        <v>10.731563133146667</v>
      </c>
    </row>
    <row r="126" spans="1:9" x14ac:dyDescent="0.25">
      <c r="A126" s="1" t="s">
        <v>75</v>
      </c>
      <c r="B126" s="2" t="s">
        <v>6</v>
      </c>
      <c r="C126" s="2" t="s">
        <v>8</v>
      </c>
      <c r="D126" s="2" t="s">
        <v>8</v>
      </c>
      <c r="E126" s="3">
        <v>3.1455555555555601</v>
      </c>
      <c r="F126" s="3">
        <v>2.5422222222222199</v>
      </c>
      <c r="G126" s="3">
        <v>4.8</v>
      </c>
      <c r="H126" s="3">
        <f>VAR(E126/MAX(E126:F126), F126/MAX(E126:F126))</f>
        <v>1.8394582061326048E-2</v>
      </c>
      <c r="I126" s="3">
        <f>4/3 * 3.14 * E126*F126*F126</f>
        <v>85.112386094119771</v>
      </c>
    </row>
    <row r="127" spans="1:9" x14ac:dyDescent="0.25">
      <c r="A127" s="1" t="s">
        <v>76</v>
      </c>
      <c r="B127" s="2" t="s">
        <v>6</v>
      </c>
      <c r="C127" s="2" t="s">
        <v>8</v>
      </c>
      <c r="D127" s="2" t="s">
        <v>8</v>
      </c>
      <c r="E127" s="3">
        <v>1.8759999999999999</v>
      </c>
      <c r="F127" s="3">
        <v>1.36</v>
      </c>
      <c r="G127" s="3">
        <v>1.3</v>
      </c>
      <c r="H127" s="3">
        <f>VAR(E127/MAX(E127:F127), F127/MAX(E127:F127))</f>
        <v>3.7827160269320315E-2</v>
      </c>
      <c r="I127" s="3">
        <f>4/3 * 3.14 * E127*F127*F127</f>
        <v>14.527103658666668</v>
      </c>
    </row>
    <row r="128" spans="1:9" x14ac:dyDescent="0.25">
      <c r="A128" s="1" t="s">
        <v>78</v>
      </c>
      <c r="B128" s="2" t="s">
        <v>6</v>
      </c>
      <c r="C128" s="2" t="s">
        <v>8</v>
      </c>
      <c r="D128" s="2" t="s">
        <v>8</v>
      </c>
      <c r="E128" s="3">
        <v>3.98</v>
      </c>
      <c r="F128" s="3">
        <v>3.2816666666666698</v>
      </c>
      <c r="G128" s="3">
        <v>14.3</v>
      </c>
      <c r="H128" s="3">
        <f>VAR(E128/MAX(E128:F128), F128/MAX(E128:F128))</f>
        <v>1.5393217483284522E-2</v>
      </c>
      <c r="I128" s="3">
        <f>4/3 * 3.14 * E128*F128*F128</f>
        <v>179.44872966370403</v>
      </c>
    </row>
    <row r="129" spans="1:9" x14ac:dyDescent="0.25">
      <c r="A129" s="1" t="s">
        <v>83</v>
      </c>
      <c r="B129" s="2" t="s">
        <v>6</v>
      </c>
      <c r="C129" s="2" t="s">
        <v>8</v>
      </c>
      <c r="D129" s="2" t="s">
        <v>8</v>
      </c>
      <c r="E129" s="3">
        <v>2.7954545454545499</v>
      </c>
      <c r="F129" s="3">
        <v>2.22272727272727</v>
      </c>
      <c r="H129" s="3">
        <f>VAR(E129/MAX(E129:F129), F129/MAX(E129:F129))</f>
        <v>2.0987507436050379E-2</v>
      </c>
      <c r="I129" s="3">
        <f>4/3 * 3.14 * E129*F129*F129</f>
        <v>57.822008903080331</v>
      </c>
    </row>
    <row r="130" spans="1:9" x14ac:dyDescent="0.25">
      <c r="A130" s="1" t="s">
        <v>89</v>
      </c>
      <c r="B130" s="2" t="s">
        <v>6</v>
      </c>
      <c r="C130" s="2" t="s">
        <v>8</v>
      </c>
      <c r="D130" s="2" t="s">
        <v>8</v>
      </c>
      <c r="E130" s="3">
        <v>2.6085714285714299</v>
      </c>
      <c r="F130" s="3">
        <v>1.70142857142857</v>
      </c>
      <c r="G130" s="3">
        <v>2.77</v>
      </c>
      <c r="H130" s="3">
        <f>VAR(E130/MAX(E130:F130), F130/MAX(E130:F130))</f>
        <v>6.0466650031371305E-2</v>
      </c>
      <c r="I130" s="3">
        <f>4/3 * 3.14 * E130*F130*F130</f>
        <v>31.615391256909582</v>
      </c>
    </row>
    <row r="131" spans="1:9" x14ac:dyDescent="0.25">
      <c r="A131" s="1" t="s">
        <v>90</v>
      </c>
      <c r="B131" s="2" t="s">
        <v>6</v>
      </c>
      <c r="C131" s="2" t="s">
        <v>8</v>
      </c>
      <c r="D131" s="2" t="s">
        <v>8</v>
      </c>
      <c r="E131" s="3">
        <v>4.3224999999999998</v>
      </c>
      <c r="F131" s="3">
        <v>2.74</v>
      </c>
      <c r="G131" s="3">
        <v>12.25</v>
      </c>
      <c r="H131" s="3">
        <f>VAR(E131/MAX(E131:F131), F131/MAX(E131:F131))</f>
        <v>6.7017378834370644E-2</v>
      </c>
      <c r="I131" s="3">
        <f>4/3 * 3.14 * E131*F131*F131</f>
        <v>135.86403618666668</v>
      </c>
    </row>
    <row r="132" spans="1:9" x14ac:dyDescent="0.25">
      <c r="A132" s="1" t="s">
        <v>91</v>
      </c>
      <c r="B132" s="2" t="s">
        <v>6</v>
      </c>
      <c r="C132" s="2" t="s">
        <v>8</v>
      </c>
      <c r="D132" s="2" t="s">
        <v>8</v>
      </c>
      <c r="E132" s="3">
        <v>3.2433333333333301</v>
      </c>
      <c r="F132" s="3">
        <v>2.2799999999999998</v>
      </c>
      <c r="H132" s="3">
        <f>VAR(E132/MAX(E132:F132), F132/MAX(E132:F132))</f>
        <v>4.4110299779556605E-2</v>
      </c>
      <c r="I132" s="3">
        <f>4/3 * 3.14 * E132*F132*F132</f>
        <v>70.587802879999927</v>
      </c>
    </row>
    <row r="133" spans="1:9" x14ac:dyDescent="0.25">
      <c r="A133" s="1" t="s">
        <v>96</v>
      </c>
      <c r="B133" s="2" t="s">
        <v>6</v>
      </c>
      <c r="C133" s="2" t="s">
        <v>8</v>
      </c>
      <c r="D133" s="2" t="s">
        <v>8</v>
      </c>
      <c r="E133" s="3">
        <v>1.6950000000000001</v>
      </c>
      <c r="F133" s="3">
        <v>1.232</v>
      </c>
      <c r="G133" s="3">
        <v>0.76666666666666705</v>
      </c>
      <c r="H133" s="3">
        <f>VAR(E133/MAX(E133:F133), F133/MAX(E133:F133))</f>
        <v>3.7307193637368341E-2</v>
      </c>
      <c r="I133" s="3">
        <f>4/3 * 3.14 * E133*F133*F133</f>
        <v>10.7710862336</v>
      </c>
    </row>
    <row r="134" spans="1:9" x14ac:dyDescent="0.25">
      <c r="A134" s="1" t="s">
        <v>100</v>
      </c>
      <c r="B134" s="2" t="s">
        <v>6</v>
      </c>
      <c r="C134" s="2" t="s">
        <v>8</v>
      </c>
      <c r="D134" s="2" t="s">
        <v>8</v>
      </c>
      <c r="E134" s="3">
        <v>4.3449999999999998</v>
      </c>
      <c r="F134" s="3">
        <v>2.94166666666667</v>
      </c>
      <c r="G134" s="3">
        <v>4.6333333333333302</v>
      </c>
      <c r="H134" s="3">
        <f>VAR(E134/MAX(E134:F134), F134/MAX(E134:F134))</f>
        <v>5.2156942544554941E-2</v>
      </c>
      <c r="I134" s="3">
        <f>4/3 * 3.14 * E134*F134*F134</f>
        <v>157.41462682407439</v>
      </c>
    </row>
    <row r="135" spans="1:9" x14ac:dyDescent="0.25">
      <c r="A135" s="1" t="s">
        <v>102</v>
      </c>
      <c r="B135" s="2" t="s">
        <v>6</v>
      </c>
      <c r="C135" s="2" t="s">
        <v>8</v>
      </c>
      <c r="D135" s="2" t="s">
        <v>8</v>
      </c>
      <c r="E135" s="3">
        <v>3.645</v>
      </c>
      <c r="F135" s="3">
        <v>2.5129999999999999</v>
      </c>
      <c r="G135" s="3">
        <v>13.966666666666701</v>
      </c>
      <c r="H135" s="3">
        <f>VAR(E135/MAX(E135:F135), F135/MAX(E135:F135))</f>
        <v>4.822450657739985E-2</v>
      </c>
      <c r="I135" s="3">
        <f>4/3 * 3.14 * E135*F135*F135</f>
        <v>96.372005007599981</v>
      </c>
    </row>
    <row r="136" spans="1:9" x14ac:dyDescent="0.25">
      <c r="A136" s="1" t="s">
        <v>104</v>
      </c>
      <c r="B136" s="2" t="s">
        <v>6</v>
      </c>
      <c r="C136" s="2" t="s">
        <v>8</v>
      </c>
      <c r="D136" s="2" t="s">
        <v>8</v>
      </c>
      <c r="E136" s="3">
        <v>4.0350000000000001</v>
      </c>
      <c r="F136" s="3">
        <v>2.73</v>
      </c>
      <c r="G136" s="3">
        <v>7.93333333333333</v>
      </c>
      <c r="H136" s="3">
        <f>VAR(E136/MAX(E136:F136), F136/MAX(E136:F136))</f>
        <v>5.2300272246099455E-2</v>
      </c>
      <c r="I136" s="3">
        <f>4/3 * 3.14 * E136*F136*F136</f>
        <v>125.90333028000001</v>
      </c>
    </row>
    <row r="137" spans="1:9" x14ac:dyDescent="0.25">
      <c r="A137" s="1" t="s">
        <v>106</v>
      </c>
      <c r="B137" s="2" t="s">
        <v>6</v>
      </c>
      <c r="C137" s="2" t="s">
        <v>8</v>
      </c>
      <c r="D137" s="2" t="s">
        <v>8</v>
      </c>
      <c r="E137" s="3">
        <v>3.37</v>
      </c>
      <c r="F137" s="3">
        <v>2.3544444444444399</v>
      </c>
      <c r="G137" s="3">
        <v>2.2799999999999998</v>
      </c>
      <c r="H137" s="3">
        <f>VAR(E137/MAX(E137:F137), F137/MAX(E137:F137))</f>
        <v>4.540645274765831E-2</v>
      </c>
      <c r="I137" s="3">
        <f>4/3 * 3.14 * E137*F137*F137</f>
        <v>78.212322090205461</v>
      </c>
    </row>
    <row r="138" spans="1:9" x14ac:dyDescent="0.25">
      <c r="A138" s="1" t="s">
        <v>109</v>
      </c>
      <c r="B138" s="2" t="s">
        <v>6</v>
      </c>
      <c r="C138" s="2" t="s">
        <v>8</v>
      </c>
      <c r="D138" s="2" t="s">
        <v>8</v>
      </c>
      <c r="E138" s="3">
        <v>3.0977777777777802</v>
      </c>
      <c r="F138" s="3">
        <v>2.9955555555555602</v>
      </c>
      <c r="G138" s="3">
        <v>5.9</v>
      </c>
      <c r="H138" s="3">
        <f>VAR(E138/MAX(E138:F138), F138/MAX(E138:F138))</f>
        <v>5.4445265526161261E-4</v>
      </c>
      <c r="I138" s="3">
        <f>4/3 * 3.14 * E138*F138*F138</f>
        <v>116.37867317260218</v>
      </c>
    </row>
    <row r="139" spans="1:9" x14ac:dyDescent="0.25">
      <c r="A139" s="1" t="s">
        <v>116</v>
      </c>
      <c r="B139" s="2" t="s">
        <v>6</v>
      </c>
      <c r="C139" s="2" t="s">
        <v>8</v>
      </c>
      <c r="D139" s="2" t="s">
        <v>8</v>
      </c>
      <c r="E139" s="3">
        <v>2.7135294117647102</v>
      </c>
      <c r="F139" s="3">
        <v>1.8323529411764701</v>
      </c>
      <c r="G139" s="3">
        <v>1.98571428571429</v>
      </c>
      <c r="H139" s="3">
        <f>VAR(E139/MAX(E139:F139), F139/MAX(E139:F139))</f>
        <v>5.2726230251842088E-2</v>
      </c>
      <c r="I139" s="3">
        <f>4/3 * 3.14 * E139*F139*F139</f>
        <v>38.143555884252706</v>
      </c>
    </row>
    <row r="140" spans="1:9" x14ac:dyDescent="0.25">
      <c r="A140" s="1" t="s">
        <v>118</v>
      </c>
      <c r="B140" s="2" t="s">
        <v>6</v>
      </c>
      <c r="C140" s="2" t="s">
        <v>8</v>
      </c>
      <c r="D140" s="2" t="s">
        <v>8</v>
      </c>
      <c r="E140" s="3">
        <v>3.31</v>
      </c>
      <c r="F140" s="3">
        <v>2.0499999999999998</v>
      </c>
      <c r="H140" s="3">
        <f>VAR(E140/MAX(E140:F140), F140/MAX(E140:F140))</f>
        <v>7.245278885734896E-2</v>
      </c>
      <c r="I140" s="3">
        <f>4/3 * 3.14 * E140*F140*F140</f>
        <v>58.237684666666652</v>
      </c>
    </row>
    <row r="141" spans="1:9" x14ac:dyDescent="0.25">
      <c r="A141" s="1" t="s">
        <v>123</v>
      </c>
      <c r="B141" s="2" t="s">
        <v>6</v>
      </c>
      <c r="C141" s="2" t="s">
        <v>8</v>
      </c>
      <c r="D141" s="2" t="s">
        <v>8</v>
      </c>
      <c r="E141" s="3">
        <v>4.4887499999999996</v>
      </c>
      <c r="F141" s="3">
        <v>3.84375</v>
      </c>
      <c r="G141" s="3">
        <v>13.55</v>
      </c>
      <c r="H141" s="3">
        <f>VAR(E141/MAX(E141:F141), F141/MAX(E141:F141))</f>
        <v>1.0323776581526202E-2</v>
      </c>
      <c r="I141" s="3">
        <f>4/3 * 3.14 * E141*F141*F141</f>
        <v>277.65408603515618</v>
      </c>
    </row>
    <row r="142" spans="1:9" x14ac:dyDescent="0.25">
      <c r="A142" s="1" t="s">
        <v>124</v>
      </c>
      <c r="B142" s="2" t="s">
        <v>6</v>
      </c>
      <c r="C142" s="2" t="s">
        <v>8</v>
      </c>
      <c r="D142" s="2" t="s">
        <v>8</v>
      </c>
      <c r="E142" s="3">
        <v>3.6225000000000001</v>
      </c>
      <c r="F142" s="3">
        <v>2.375</v>
      </c>
      <c r="G142" s="3">
        <v>3.35</v>
      </c>
      <c r="H142" s="3">
        <f>VAR(E142/MAX(E142:F142), F142/MAX(E142:F142))</f>
        <v>5.9297218852534472E-2</v>
      </c>
      <c r="I142" s="3">
        <f>4/3 * 3.14 * E142*F142*F142</f>
        <v>85.546846875</v>
      </c>
    </row>
    <row r="143" spans="1:9" x14ac:dyDescent="0.25">
      <c r="A143" s="1" t="s">
        <v>127</v>
      </c>
      <c r="B143" s="2" t="s">
        <v>6</v>
      </c>
      <c r="C143" s="2" t="s">
        <v>8</v>
      </c>
      <c r="D143" s="2" t="s">
        <v>8</v>
      </c>
      <c r="E143" s="3">
        <v>4.6588888888888897</v>
      </c>
      <c r="F143" s="3">
        <v>2.89777777777778</v>
      </c>
      <c r="G143" s="3">
        <v>5.1666666666666696</v>
      </c>
      <c r="H143" s="3">
        <f>VAR(E143/MAX(E143:F143), F143/MAX(E143:F143))</f>
        <v>7.1446146971696933E-2</v>
      </c>
      <c r="I143" s="3">
        <f>4/3 * 3.14 * E143*F143*F143</f>
        <v>163.78755236813927</v>
      </c>
    </row>
    <row r="144" spans="1:9" x14ac:dyDescent="0.25">
      <c r="A144" s="1" t="s">
        <v>129</v>
      </c>
      <c r="B144" s="2" t="s">
        <v>6</v>
      </c>
      <c r="C144" s="2" t="s">
        <v>8</v>
      </c>
      <c r="D144" s="2" t="s">
        <v>8</v>
      </c>
      <c r="E144" s="3">
        <v>2.5190909090909099</v>
      </c>
      <c r="F144" s="3">
        <v>1.6818181818181801</v>
      </c>
      <c r="G144" s="3">
        <v>2.8</v>
      </c>
      <c r="H144" s="3">
        <f>VAR(E144/MAX(E144:F144), F144/MAX(E144:F144))</f>
        <v>5.5235235902705071E-2</v>
      </c>
      <c r="I144" s="3">
        <f>4/3 * 3.14 * E144*F144*F144</f>
        <v>29.831171700475778</v>
      </c>
    </row>
    <row r="145" spans="1:9" x14ac:dyDescent="0.25">
      <c r="A145" s="1" t="s">
        <v>131</v>
      </c>
      <c r="B145" s="2" t="s">
        <v>6</v>
      </c>
      <c r="C145" s="2" t="s">
        <v>8</v>
      </c>
      <c r="D145" s="2" t="s">
        <v>8</v>
      </c>
      <c r="E145" s="3">
        <v>2.17</v>
      </c>
      <c r="F145" s="3">
        <v>1.5</v>
      </c>
      <c r="H145" s="3">
        <f>VAR(E145/MAX(E145:F145), F145/MAX(E145:F145))</f>
        <v>4.7665059780416019E-2</v>
      </c>
      <c r="I145" s="3">
        <f>4/3 * 3.14 * E145*F145*F145</f>
        <v>20.441399999999998</v>
      </c>
    </row>
    <row r="146" spans="1:9" x14ac:dyDescent="0.25">
      <c r="A146" s="1" t="s">
        <v>132</v>
      </c>
      <c r="B146" s="2" t="s">
        <v>6</v>
      </c>
      <c r="C146" s="2" t="s">
        <v>8</v>
      </c>
      <c r="D146" s="2" t="s">
        <v>8</v>
      </c>
      <c r="E146" s="3">
        <v>2.9688888888888898</v>
      </c>
      <c r="F146" s="3">
        <v>2.43333333333333</v>
      </c>
      <c r="G146" s="3">
        <v>3.7666666666666702</v>
      </c>
      <c r="H146" s="3">
        <f>VAR(E146/MAX(E146:F146), F146/MAX(E146:F146))</f>
        <v>1.6270135626949948E-2</v>
      </c>
      <c r="I146" s="3">
        <f>4/3 * 3.14 * E146*F146*F146</f>
        <v>73.597919868312573</v>
      </c>
    </row>
    <row r="147" spans="1:9" x14ac:dyDescent="0.25">
      <c r="A147" s="1" t="s">
        <v>134</v>
      </c>
      <c r="B147" s="2" t="s">
        <v>6</v>
      </c>
      <c r="C147" s="2" t="s">
        <v>8</v>
      </c>
      <c r="D147" s="2" t="s">
        <v>8</v>
      </c>
      <c r="E147" s="3">
        <v>2.645</v>
      </c>
      <c r="F147" s="3">
        <v>1.5549999999999999</v>
      </c>
      <c r="G147" s="3">
        <v>1.05</v>
      </c>
      <c r="H147" s="3">
        <f>VAR(E147/MAX(E147:F147), F147/MAX(E147:F147))</f>
        <v>8.4912503886135138E-2</v>
      </c>
      <c r="I147" s="3">
        <f>4/3 * 3.14 * E147*F147*F147</f>
        <v>26.77656404333333</v>
      </c>
    </row>
    <row r="148" spans="1:9" x14ac:dyDescent="0.25">
      <c r="A148" s="1" t="s">
        <v>135</v>
      </c>
      <c r="B148" s="2" t="s">
        <v>6</v>
      </c>
      <c r="C148" s="2" t="s">
        <v>8</v>
      </c>
      <c r="D148" s="2" t="s">
        <v>8</v>
      </c>
      <c r="E148" s="3">
        <v>2.94</v>
      </c>
      <c r="F148" s="3">
        <v>2.1016666666666701</v>
      </c>
      <c r="H148" s="3">
        <f>VAR(E148/MAX(E148:F148), F148/MAX(E148:F148))</f>
        <v>4.0654517664963974E-2</v>
      </c>
      <c r="I148" s="3">
        <f>4/3 * 3.14 * E148*F148*F148</f>
        <v>54.368003791111285</v>
      </c>
    </row>
    <row r="149" spans="1:9" x14ac:dyDescent="0.25">
      <c r="A149" s="1" t="s">
        <v>142</v>
      </c>
      <c r="B149" s="2" t="s">
        <v>6</v>
      </c>
      <c r="C149" s="2" t="s">
        <v>8</v>
      </c>
      <c r="D149" s="2" t="s">
        <v>8</v>
      </c>
      <c r="E149" s="3">
        <v>1.734</v>
      </c>
      <c r="F149" s="3">
        <v>1.43</v>
      </c>
      <c r="G149" s="3">
        <v>1.3</v>
      </c>
      <c r="H149" s="3">
        <f>VAR(E149/MAX(E149:F149), F149/MAX(E149:F149))</f>
        <v>1.5368057800499938E-2</v>
      </c>
      <c r="I149" s="3">
        <f>4/3 * 3.14 * E149*F149*F149</f>
        <v>14.845319631999999</v>
      </c>
    </row>
    <row r="150" spans="1:9" x14ac:dyDescent="0.25">
      <c r="A150" s="1" t="s">
        <v>143</v>
      </c>
      <c r="B150" s="2" t="s">
        <v>6</v>
      </c>
      <c r="C150" s="2" t="s">
        <v>8</v>
      </c>
      <c r="D150" s="2" t="s">
        <v>8</v>
      </c>
      <c r="E150" s="3">
        <v>2.5750000000000002</v>
      </c>
      <c r="F150" s="3">
        <v>1.9275</v>
      </c>
      <c r="G150" s="3">
        <v>1.6666666666666701</v>
      </c>
      <c r="H150" s="3">
        <f>VAR(E150/MAX(E150:F150), F150/MAX(E150:F150))</f>
        <v>3.1615138090300698E-2</v>
      </c>
      <c r="I150" s="3">
        <f>4/3 * 3.14 * E150*F150*F150</f>
        <v>40.0529392125</v>
      </c>
    </row>
    <row r="151" spans="1:9" x14ac:dyDescent="0.25">
      <c r="A151" s="1" t="s">
        <v>146</v>
      </c>
      <c r="B151" s="2" t="s">
        <v>6</v>
      </c>
      <c r="C151" s="2" t="s">
        <v>8</v>
      </c>
      <c r="D151" s="2" t="s">
        <v>8</v>
      </c>
      <c r="E151" s="3">
        <v>2.4812500000000002</v>
      </c>
      <c r="F151" s="3">
        <v>2.5612499999999998</v>
      </c>
      <c r="G151" s="3">
        <v>5.8624999999999998</v>
      </c>
      <c r="H151" s="3">
        <f>VAR(E151/MAX(E151:F151), F151/MAX(E151:F151))</f>
        <v>4.8780476186052393E-4</v>
      </c>
      <c r="I151" s="3">
        <f>4/3 * 3.14 * E151*F151*F151</f>
        <v>68.146389564843744</v>
      </c>
    </row>
    <row r="152" spans="1:9" x14ac:dyDescent="0.25">
      <c r="A152" s="1" t="s">
        <v>147</v>
      </c>
      <c r="B152" s="2" t="s">
        <v>6</v>
      </c>
      <c r="C152" s="2" t="s">
        <v>8</v>
      </c>
      <c r="D152" s="2" t="s">
        <v>8</v>
      </c>
      <c r="E152" s="3">
        <v>3.42</v>
      </c>
      <c r="F152" s="3">
        <v>2.4550000000000001</v>
      </c>
      <c r="H152" s="3">
        <f>VAR(E152/MAX(E152:F152), F152/MAX(E152:F152))</f>
        <v>3.9808188844430825E-2</v>
      </c>
      <c r="I152" s="3">
        <f>4/3 * 3.14 * E152*F152*F152</f>
        <v>86.29735475999999</v>
      </c>
    </row>
    <row r="153" spans="1:9" x14ac:dyDescent="0.25">
      <c r="A153" s="1" t="s">
        <v>148</v>
      </c>
      <c r="B153" s="2" t="s">
        <v>6</v>
      </c>
      <c r="C153" s="2" t="s">
        <v>8</v>
      </c>
      <c r="D153" s="2" t="s">
        <v>8</v>
      </c>
      <c r="E153" s="3">
        <v>3.2679999999999998</v>
      </c>
      <c r="F153" s="3">
        <v>2.16</v>
      </c>
      <c r="G153" s="3">
        <v>7.2857142857142803</v>
      </c>
      <c r="H153" s="3">
        <f>VAR(E153/MAX(E153:F153), F153/MAX(E153:F153))</f>
        <v>5.7475853534665111E-2</v>
      </c>
      <c r="I153" s="3">
        <f>4/3 * 3.14 * E153*F153*F153</f>
        <v>63.834863616</v>
      </c>
    </row>
    <row r="154" spans="1:9" x14ac:dyDescent="0.25">
      <c r="A154" s="1" t="s">
        <v>151</v>
      </c>
      <c r="B154" s="2" t="s">
        <v>6</v>
      </c>
      <c r="C154" s="2" t="s">
        <v>8</v>
      </c>
      <c r="D154" s="2" t="s">
        <v>8</v>
      </c>
      <c r="E154" s="3">
        <v>2.556</v>
      </c>
      <c r="F154" s="3">
        <v>1.8</v>
      </c>
      <c r="H154" s="3">
        <f>VAR(E154/MAX(E154:F154), F154/MAX(E154:F154))</f>
        <v>4.3741321166435254E-2</v>
      </c>
      <c r="I154" s="3">
        <f>4/3 * 3.14 * E154*F154*F154</f>
        <v>34.671628800000001</v>
      </c>
    </row>
    <row r="155" spans="1:9" x14ac:dyDescent="0.25">
      <c r="A155" s="1" t="s">
        <v>152</v>
      </c>
      <c r="B155" s="2" t="s">
        <v>6</v>
      </c>
      <c r="C155" s="2" t="s">
        <v>8</v>
      </c>
      <c r="D155" s="2" t="s">
        <v>8</v>
      </c>
      <c r="E155" s="3">
        <v>3.6924999999999999</v>
      </c>
      <c r="F155" s="3">
        <v>2.5</v>
      </c>
      <c r="G155" s="3">
        <v>6.55</v>
      </c>
      <c r="H155" s="3">
        <f>VAR(E155/MAX(E155:F155), F155/MAX(E155:F155))</f>
        <v>5.2148974411983406E-2</v>
      </c>
      <c r="I155" s="3">
        <f>4/3 * 3.14 * E155*F155*F155</f>
        <v>96.620416666666671</v>
      </c>
    </row>
    <row r="156" spans="1:9" x14ac:dyDescent="0.25">
      <c r="A156" s="1" t="s">
        <v>160</v>
      </c>
      <c r="B156" s="2" t="s">
        <v>6</v>
      </c>
      <c r="C156" s="2" t="s">
        <v>8</v>
      </c>
      <c r="D156" s="2" t="s">
        <v>8</v>
      </c>
      <c r="E156" s="3">
        <v>1.24285714285714</v>
      </c>
      <c r="F156" s="3">
        <v>0.79428571428571404</v>
      </c>
      <c r="G156" s="3">
        <v>0.4</v>
      </c>
      <c r="H156" s="3">
        <f>VAR(E156/MAX(E156:F156), F156/MAX(E156:F156))</f>
        <v>6.5131457259875569E-2</v>
      </c>
      <c r="I156" s="3">
        <f>4/3 * 3.14 * E156*F156*F156</f>
        <v>3.2827899895043635</v>
      </c>
    </row>
    <row r="157" spans="1:9" x14ac:dyDescent="0.25">
      <c r="A157" s="1" t="s">
        <v>167</v>
      </c>
      <c r="B157" s="2" t="s">
        <v>6</v>
      </c>
      <c r="C157" s="2" t="s">
        <v>8</v>
      </c>
      <c r="D157" s="2" t="s">
        <v>8</v>
      </c>
      <c r="E157" s="3">
        <v>3.57</v>
      </c>
      <c r="F157" s="3">
        <v>2.5083333333333302</v>
      </c>
      <c r="G157" s="3">
        <v>5</v>
      </c>
      <c r="H157" s="3">
        <f>VAR(E157/MAX(E157:F157), F157/MAX(E157:F157))</f>
        <v>4.4219103763509793E-2</v>
      </c>
      <c r="I157" s="3">
        <f>4/3 * 3.14 * E157*F157*F157</f>
        <v>94.038804611110862</v>
      </c>
    </row>
    <row r="158" spans="1:9" x14ac:dyDescent="0.25">
      <c r="A158" s="1" t="s">
        <v>171</v>
      </c>
      <c r="B158" s="2" t="s">
        <v>6</v>
      </c>
      <c r="C158" s="2" t="s">
        <v>8</v>
      </c>
      <c r="D158" s="2" t="s">
        <v>8</v>
      </c>
      <c r="E158" s="3">
        <v>5.3187499999999996</v>
      </c>
      <c r="F158" s="3">
        <v>3.2225000000000001</v>
      </c>
      <c r="G158" s="3">
        <v>8.6</v>
      </c>
      <c r="H158" s="3">
        <f>VAR(E158/MAX(E158:F158), F158/MAX(E158:F158))</f>
        <v>7.7667084138243414E-2</v>
      </c>
      <c r="I158" s="3">
        <f>4/3 * 3.14 * E158*F158*F158</f>
        <v>231.24045442395834</v>
      </c>
    </row>
    <row r="159" spans="1:9" x14ac:dyDescent="0.25">
      <c r="A159" s="1" t="s">
        <v>174</v>
      </c>
      <c r="B159" s="2" t="s">
        <v>6</v>
      </c>
      <c r="C159" s="2" t="s">
        <v>8</v>
      </c>
      <c r="D159" s="2" t="s">
        <v>8</v>
      </c>
      <c r="E159" s="3">
        <v>4.3028571428571398</v>
      </c>
      <c r="F159" s="3">
        <v>2.9185714285714299</v>
      </c>
      <c r="G159" s="3">
        <v>8.625</v>
      </c>
      <c r="H159" s="3">
        <f>VAR(E159/MAX(E159:F159), F159/MAX(E159:F159))</f>
        <v>5.1749674608339236E-2</v>
      </c>
      <c r="I159" s="3">
        <f>4/3 * 3.14 * E159*F159*F159</f>
        <v>153.44967234332364</v>
      </c>
    </row>
    <row r="160" spans="1:9" x14ac:dyDescent="0.25">
      <c r="A160" s="1" t="s">
        <v>179</v>
      </c>
      <c r="B160" s="2" t="s">
        <v>6</v>
      </c>
      <c r="C160" s="2" t="s">
        <v>8</v>
      </c>
      <c r="D160" s="2" t="s">
        <v>8</v>
      </c>
      <c r="E160" s="3">
        <v>5.6257142857142899</v>
      </c>
      <c r="F160" s="3">
        <v>3.8785714285714299</v>
      </c>
      <c r="G160" s="3">
        <v>75.8</v>
      </c>
      <c r="H160" s="3">
        <f>VAR(E160/MAX(E160:F160), F160/MAX(E160:F160))</f>
        <v>4.8224917661023659E-2</v>
      </c>
      <c r="I160" s="3">
        <f>4/3 * 3.14 * E160*F160*F160</f>
        <v>354.31508616909673</v>
      </c>
    </row>
    <row r="161" spans="1:9" x14ac:dyDescent="0.25">
      <c r="A161" s="1" t="s">
        <v>182</v>
      </c>
      <c r="B161" s="2" t="s">
        <v>6</v>
      </c>
      <c r="C161" s="2" t="s">
        <v>8</v>
      </c>
      <c r="D161" s="2" t="s">
        <v>8</v>
      </c>
      <c r="E161" s="3">
        <v>1.8333333333333299</v>
      </c>
      <c r="F161" s="3">
        <v>1.3611111111111101</v>
      </c>
      <c r="G161" s="3">
        <v>0.67500000000000004</v>
      </c>
      <c r="H161" s="3">
        <f>VAR(E161/MAX(E161:F161), F161/MAX(E161:F161))</f>
        <v>3.3172635445362753E-2</v>
      </c>
      <c r="I161" s="3">
        <f>4/3 * 3.14 * E161*F161*F161</f>
        <v>14.219914266117922</v>
      </c>
    </row>
    <row r="162" spans="1:9" x14ac:dyDescent="0.25">
      <c r="A162" s="1" t="s">
        <v>188</v>
      </c>
      <c r="B162" s="2" t="s">
        <v>6</v>
      </c>
      <c r="C162" s="2" t="s">
        <v>8</v>
      </c>
      <c r="D162" s="2" t="s">
        <v>8</v>
      </c>
      <c r="E162" s="3">
        <v>3.2725</v>
      </c>
      <c r="F162" s="3">
        <v>2.1825000000000001</v>
      </c>
      <c r="G162" s="3">
        <v>2.6666666666666701</v>
      </c>
      <c r="H162" s="3">
        <f>VAR(E162/MAX(E162:F162), F162/MAX(E162:F162))</f>
        <v>5.5470705540358933E-2</v>
      </c>
      <c r="I162" s="3">
        <f>4/3 * 3.14 * E162*F162*F162</f>
        <v>65.261423823750008</v>
      </c>
    </row>
    <row r="163" spans="1:9" x14ac:dyDescent="0.25">
      <c r="A163" s="1" t="s">
        <v>191</v>
      </c>
      <c r="B163" s="2" t="s">
        <v>6</v>
      </c>
      <c r="C163" s="2" t="s">
        <v>8</v>
      </c>
      <c r="D163" s="2" t="s">
        <v>8</v>
      </c>
      <c r="E163" s="3">
        <v>3.7120000000000002</v>
      </c>
      <c r="F163" s="3">
        <v>2.702</v>
      </c>
      <c r="G163" s="3">
        <v>7.65</v>
      </c>
      <c r="H163" s="3">
        <f>VAR(E163/MAX(E163:F163), F163/MAX(E163:F163))</f>
        <v>3.7016624786341046E-2</v>
      </c>
      <c r="I163" s="3">
        <f>4/3 * 3.14 * E163*F163*F163</f>
        <v>113.46111355562665</v>
      </c>
    </row>
    <row r="164" spans="1:9" x14ac:dyDescent="0.25">
      <c r="A164" s="1" t="s">
        <v>194</v>
      </c>
      <c r="B164" s="2" t="s">
        <v>6</v>
      </c>
      <c r="C164" s="2" t="s">
        <v>8</v>
      </c>
      <c r="D164" s="2" t="s">
        <v>8</v>
      </c>
      <c r="E164" s="3">
        <v>3.22</v>
      </c>
      <c r="F164" s="3">
        <v>3.25</v>
      </c>
      <c r="G164" s="3">
        <v>21.85</v>
      </c>
      <c r="H164" s="3">
        <f>VAR(E164/MAX(E164:F164), F164/MAX(E164:F164))</f>
        <v>4.2603550295857275E-5</v>
      </c>
      <c r="I164" s="3">
        <f>4/3 * 3.14 * E164*F164*F164</f>
        <v>142.39376666666669</v>
      </c>
    </row>
    <row r="165" spans="1:9" x14ac:dyDescent="0.25">
      <c r="A165" s="1" t="s">
        <v>197</v>
      </c>
      <c r="B165" s="2" t="s">
        <v>6</v>
      </c>
      <c r="C165" s="2" t="s">
        <v>8</v>
      </c>
      <c r="D165" s="2" t="s">
        <v>8</v>
      </c>
      <c r="E165" s="3">
        <v>2.3199999999999998</v>
      </c>
      <c r="F165" s="3">
        <v>1.76555555555556</v>
      </c>
      <c r="H165" s="3">
        <f>VAR(E165/MAX(E165:F165), F165/MAX(E165:F165))</f>
        <v>2.8556837282188718E-2</v>
      </c>
      <c r="I165" s="3">
        <f>4/3 * 3.14 * E165*F165*F165</f>
        <v>30.277439507489863</v>
      </c>
    </row>
    <row r="166" spans="1:9" x14ac:dyDescent="0.25">
      <c r="A166" s="1" t="s">
        <v>198</v>
      </c>
      <c r="B166" s="2" t="s">
        <v>6</v>
      </c>
      <c r="C166" s="2" t="s">
        <v>8</v>
      </c>
      <c r="D166" s="2" t="s">
        <v>8</v>
      </c>
      <c r="E166" s="3">
        <v>4.0514285714285698</v>
      </c>
      <c r="F166" s="3">
        <v>2.7957142857142898</v>
      </c>
      <c r="G166" s="3">
        <v>13.3818181818182</v>
      </c>
      <c r="H166" s="3">
        <f>VAR(E166/MAX(E166:F166), F166/MAX(E166:F166))</f>
        <v>4.8032512169745356E-2</v>
      </c>
      <c r="I166" s="3">
        <f>4/3 * 3.14 * E166*F166*F166</f>
        <v>132.57515467039877</v>
      </c>
    </row>
    <row r="167" spans="1:9" x14ac:dyDescent="0.25">
      <c r="A167" s="1" t="s">
        <v>200</v>
      </c>
      <c r="B167" s="2" t="s">
        <v>6</v>
      </c>
      <c r="C167" s="2" t="s">
        <v>8</v>
      </c>
      <c r="D167" s="2" t="s">
        <v>8</v>
      </c>
      <c r="E167" s="3">
        <v>2.8239999999999998</v>
      </c>
      <c r="F167" s="3">
        <v>1.794</v>
      </c>
      <c r="G167" s="3">
        <v>5.05</v>
      </c>
      <c r="H167" s="3">
        <f>VAR(E167/MAX(E167:F167), F167/MAX(E167:F167))</f>
        <v>6.6514306751518593E-2</v>
      </c>
      <c r="I167" s="3">
        <f>4/3 * 3.14 * E167*F167*F167</f>
        <v>38.052040865279999</v>
      </c>
    </row>
    <row r="168" spans="1:9" x14ac:dyDescent="0.25">
      <c r="A168" s="1" t="s">
        <v>205</v>
      </c>
      <c r="B168" s="2" t="s">
        <v>6</v>
      </c>
      <c r="C168" s="2" t="s">
        <v>8</v>
      </c>
      <c r="D168" s="2" t="s">
        <v>8</v>
      </c>
      <c r="E168" s="3">
        <v>2.18333333333333</v>
      </c>
      <c r="F168" s="3">
        <v>1.48</v>
      </c>
      <c r="G168" s="3">
        <v>0.33333333333333298</v>
      </c>
      <c r="H168" s="3">
        <f>VAR(E168/MAX(E168:F168), F168/MAX(E168:F168))</f>
        <v>5.1886253714818364E-2</v>
      </c>
      <c r="I168" s="3">
        <f>4/3 * 3.14 * E168*F168*F168</f>
        <v>20.02220302222219</v>
      </c>
    </row>
    <row r="169" spans="1:9" x14ac:dyDescent="0.25">
      <c r="A169" s="1" t="s">
        <v>208</v>
      </c>
      <c r="B169" s="2" t="s">
        <v>6</v>
      </c>
      <c r="C169" s="2" t="s">
        <v>8</v>
      </c>
      <c r="D169" s="2" t="s">
        <v>8</v>
      </c>
      <c r="E169" s="3">
        <v>4.4580000000000002</v>
      </c>
      <c r="F169" s="3">
        <v>3.5030000000000001</v>
      </c>
      <c r="G169" s="3">
        <v>23.066666666666698</v>
      </c>
      <c r="H169" s="3">
        <f>VAR(E169/MAX(E169:F169), F169/MAX(E169:F169))</f>
        <v>2.2945452104593755E-2</v>
      </c>
      <c r="I169" s="3">
        <f>4/3 * 3.14 * E169*F169*F169</f>
        <v>229.02807533743999</v>
      </c>
    </row>
    <row r="170" spans="1:9" x14ac:dyDescent="0.25">
      <c r="A170" s="1" t="s">
        <v>220</v>
      </c>
      <c r="B170" s="2" t="s">
        <v>6</v>
      </c>
      <c r="C170" s="2" t="s">
        <v>8</v>
      </c>
      <c r="D170" s="2" t="s">
        <v>8</v>
      </c>
      <c r="E170" s="3">
        <v>3.2012499999999999</v>
      </c>
      <c r="F170" s="3">
        <v>2.2225000000000001</v>
      </c>
      <c r="G170" s="3">
        <v>5</v>
      </c>
      <c r="H170" s="3">
        <f>VAR(E170/MAX(E170:F170), F170/MAX(E170:F170))</f>
        <v>4.6738457086373808E-2</v>
      </c>
      <c r="I170" s="3">
        <f>4/3 * 3.14 * E170*F170*F170</f>
        <v>66.202061816041663</v>
      </c>
    </row>
    <row r="171" spans="1:9" x14ac:dyDescent="0.25">
      <c r="A171" s="1" t="s">
        <v>221</v>
      </c>
      <c r="B171" s="2" t="s">
        <v>6</v>
      </c>
      <c r="C171" s="2" t="s">
        <v>8</v>
      </c>
      <c r="D171" s="2" t="s">
        <v>8</v>
      </c>
      <c r="E171" s="3">
        <v>1.75</v>
      </c>
      <c r="F171" s="3">
        <v>1.31</v>
      </c>
      <c r="H171" s="3">
        <f>VAR(E171/MAX(E171:F171), F171/MAX(E171:F171))</f>
        <v>3.1608163265306022E-2</v>
      </c>
      <c r="I171" s="3">
        <f>4/3 * 3.14 * E171*F171*F171</f>
        <v>12.573292666666667</v>
      </c>
    </row>
    <row r="172" spans="1:9" x14ac:dyDescent="0.25">
      <c r="A172" s="1" t="s">
        <v>222</v>
      </c>
      <c r="B172" s="2" t="s">
        <v>6</v>
      </c>
      <c r="C172" s="2" t="s">
        <v>8</v>
      </c>
      <c r="D172" s="2" t="s">
        <v>8</v>
      </c>
      <c r="E172" s="3">
        <v>3.8533333333333299</v>
      </c>
      <c r="F172" s="3">
        <v>2.5333333333333301</v>
      </c>
      <c r="G172" s="3">
        <v>4.6500000000000004</v>
      </c>
      <c r="H172" s="3">
        <f>VAR(E172/MAX(E172:F172), F172/MAX(E172:F172))</f>
        <v>5.8673866452748413E-2</v>
      </c>
      <c r="I172" s="3">
        <f>4/3 * 3.14 * E172*F172*F172</f>
        <v>103.53558439506138</v>
      </c>
    </row>
    <row r="173" spans="1:9" x14ac:dyDescent="0.25">
      <c r="A173" s="1" t="s">
        <v>224</v>
      </c>
      <c r="B173" s="2" t="s">
        <v>6</v>
      </c>
      <c r="C173" s="2" t="s">
        <v>8</v>
      </c>
      <c r="D173" s="2" t="s">
        <v>8</v>
      </c>
      <c r="E173" s="3">
        <v>3.2610000000000001</v>
      </c>
      <c r="F173" s="3">
        <v>2.085</v>
      </c>
      <c r="G173" s="3">
        <v>2.56666666666667</v>
      </c>
      <c r="H173" s="3">
        <f>VAR(E173/MAX(E173:F173), F173/MAX(E173:F173))</f>
        <v>6.5025402663746235E-2</v>
      </c>
      <c r="I173" s="3">
        <f>4/3 * 3.14 * E173*F173*F173</f>
        <v>59.351445701999999</v>
      </c>
    </row>
    <row r="174" spans="1:9" x14ac:dyDescent="0.25">
      <c r="A174" s="1" t="s">
        <v>230</v>
      </c>
      <c r="B174" s="2" t="s">
        <v>6</v>
      </c>
      <c r="C174" s="2" t="s">
        <v>8</v>
      </c>
      <c r="D174" s="2" t="s">
        <v>8</v>
      </c>
      <c r="E174" s="3">
        <v>3.9</v>
      </c>
      <c r="F174" s="3">
        <v>3.15</v>
      </c>
      <c r="H174" s="3">
        <f>VAR(E174/MAX(E174:F174), F174/MAX(E174:F174))</f>
        <v>1.8491124260355152E-2</v>
      </c>
      <c r="I174" s="3">
        <f>4/3 * 3.14 * E174*F174*F174</f>
        <v>162.01458</v>
      </c>
    </row>
    <row r="175" spans="1:9" x14ac:dyDescent="0.25">
      <c r="A175" s="1" t="s">
        <v>231</v>
      </c>
      <c r="B175" s="2" t="s">
        <v>6</v>
      </c>
      <c r="C175" s="2" t="s">
        <v>8</v>
      </c>
      <c r="D175" s="2" t="s">
        <v>8</v>
      </c>
      <c r="E175" s="3">
        <v>3.8149999999999999</v>
      </c>
      <c r="F175" s="3">
        <v>2.7949999999999999</v>
      </c>
      <c r="H175" s="3">
        <f>VAR(E175/MAX(E175:F175), F175/MAX(E175:F175))</f>
        <v>3.5742198571205197E-2</v>
      </c>
      <c r="I175" s="3">
        <f>4/3 * 3.14 * E175*F175*F175</f>
        <v>124.77470490333332</v>
      </c>
    </row>
    <row r="176" spans="1:9" x14ac:dyDescent="0.25">
      <c r="A176" s="1" t="s">
        <v>240</v>
      </c>
      <c r="B176" s="2" t="s">
        <v>6</v>
      </c>
      <c r="C176" s="2" t="s">
        <v>8</v>
      </c>
      <c r="D176" s="2" t="s">
        <v>8</v>
      </c>
      <c r="E176" s="3">
        <v>3.496</v>
      </c>
      <c r="F176" s="3">
        <v>3.0939999999999999</v>
      </c>
      <c r="G176" s="3">
        <v>15.9333333333333</v>
      </c>
      <c r="H176" s="3">
        <f>VAR(E176/MAX(E176:F176), F176/MAX(E176:F176))</f>
        <v>6.6111842759819647E-3</v>
      </c>
      <c r="I176" s="3">
        <f>4/3 * 3.14 * E176*F176*F176</f>
        <v>140.11364375978664</v>
      </c>
    </row>
    <row r="177" spans="1:9" x14ac:dyDescent="0.25">
      <c r="A177" s="1" t="s">
        <v>241</v>
      </c>
      <c r="B177" s="2" t="s">
        <v>6</v>
      </c>
      <c r="C177" s="2" t="s">
        <v>8</v>
      </c>
      <c r="D177" s="2" t="s">
        <v>8</v>
      </c>
      <c r="E177" s="3">
        <v>3</v>
      </c>
    </row>
    <row r="178" spans="1:9" x14ac:dyDescent="0.25">
      <c r="A178" s="1" t="s">
        <v>242</v>
      </c>
      <c r="B178" s="2" t="s">
        <v>6</v>
      </c>
      <c r="C178" s="2" t="s">
        <v>8</v>
      </c>
      <c r="D178" s="2" t="s">
        <v>8</v>
      </c>
      <c r="E178" s="3">
        <v>2.1475</v>
      </c>
      <c r="F178" s="3">
        <v>1.2575000000000001</v>
      </c>
      <c r="G178" s="3">
        <v>0.4</v>
      </c>
      <c r="H178" s="3">
        <f>VAR(E178/MAX(E178:F178), F178/MAX(E178:F178))</f>
        <v>8.5878346237401537E-2</v>
      </c>
      <c r="I178" s="3">
        <f>4/3 * 3.14 * E178*F178*F178</f>
        <v>14.217313652916665</v>
      </c>
    </row>
    <row r="179" spans="1:9" x14ac:dyDescent="0.25">
      <c r="A179" s="1" t="s">
        <v>244</v>
      </c>
      <c r="B179" s="2" t="s">
        <v>6</v>
      </c>
      <c r="C179" s="2" t="s">
        <v>8</v>
      </c>
      <c r="D179" s="2" t="s">
        <v>8</v>
      </c>
      <c r="E179" s="3">
        <v>1.76</v>
      </c>
      <c r="F179" s="3">
        <v>1.2450000000000001</v>
      </c>
      <c r="G179" s="3">
        <v>0.95</v>
      </c>
      <c r="H179" s="3">
        <f>VAR(E179/MAX(E179:F179), F179/MAX(E179:F179))</f>
        <v>4.2811370092975087E-2</v>
      </c>
      <c r="I179" s="3">
        <f>4/3 * 3.14 * E179*F179*F179</f>
        <v>11.42141088</v>
      </c>
    </row>
    <row r="180" spans="1:9" x14ac:dyDescent="0.25">
      <c r="A180" s="1" t="s">
        <v>245</v>
      </c>
      <c r="B180" s="2" t="s">
        <v>6</v>
      </c>
      <c r="C180" s="2" t="s">
        <v>8</v>
      </c>
      <c r="D180" s="2" t="s">
        <v>8</v>
      </c>
      <c r="E180" s="3">
        <v>3.085</v>
      </c>
      <c r="F180" s="3">
        <v>2.1800000000000002</v>
      </c>
      <c r="H180" s="3">
        <f>VAR(E180/MAX(E180:F180), F180/MAX(E180:F180))</f>
        <v>4.3028561371618368E-2</v>
      </c>
      <c r="I180" s="3">
        <f>4/3 * 3.14 * E180*F180*F180</f>
        <v>61.381364746666669</v>
      </c>
    </row>
    <row r="181" spans="1:9" x14ac:dyDescent="0.25">
      <c r="A181" s="1" t="s">
        <v>5</v>
      </c>
      <c r="B181" s="2" t="s">
        <v>6</v>
      </c>
      <c r="C181" s="2" t="s">
        <v>8</v>
      </c>
      <c r="D181" s="2" t="s">
        <v>4</v>
      </c>
      <c r="E181" s="3">
        <v>2.9380000000000002</v>
      </c>
      <c r="F181" s="3">
        <v>2.125</v>
      </c>
      <c r="G181" s="3">
        <v>5.0750000000000002</v>
      </c>
      <c r="H181" s="3">
        <f>VAR(E181/MAX(E181:F181), F181/MAX(E181:F181))</f>
        <v>3.828666273394199E-2</v>
      </c>
      <c r="I181" s="3">
        <f>4/3 * 3.14 * E181*F181*F181</f>
        <v>55.544114166666674</v>
      </c>
    </row>
    <row r="182" spans="1:9" x14ac:dyDescent="0.25">
      <c r="A182" s="1" t="s">
        <v>20</v>
      </c>
      <c r="B182" s="2" t="s">
        <v>6</v>
      </c>
      <c r="C182" s="2" t="s">
        <v>8</v>
      </c>
      <c r="D182" s="2" t="s">
        <v>4</v>
      </c>
      <c r="E182" s="3">
        <v>2.6</v>
      </c>
      <c r="F182" s="3">
        <v>1.31</v>
      </c>
      <c r="H182" s="3">
        <f>VAR(E182/MAX(E182:F182), F182/MAX(E182:F182))</f>
        <v>0.12308431952662735</v>
      </c>
      <c r="I182" s="3">
        <f>4/3 * 3.14 * E182*F182*F182</f>
        <v>18.680320533333333</v>
      </c>
    </row>
    <row r="183" spans="1:9" x14ac:dyDescent="0.25">
      <c r="A183" s="1" t="s">
        <v>24</v>
      </c>
      <c r="B183" s="2" t="s">
        <v>6</v>
      </c>
      <c r="C183" s="2" t="s">
        <v>8</v>
      </c>
      <c r="D183" s="2" t="s">
        <v>4</v>
      </c>
      <c r="E183" s="3">
        <v>3</v>
      </c>
      <c r="F183" s="3">
        <v>2.5</v>
      </c>
      <c r="H183" s="3">
        <f>VAR(E183/MAX(E183:F183), F183/MAX(E183:F183))</f>
        <v>1.3888888888888883E-2</v>
      </c>
      <c r="I183" s="3">
        <f>4/3 * 3.14 * E183*F183*F183</f>
        <v>78.5</v>
      </c>
    </row>
    <row r="184" spans="1:9" x14ac:dyDescent="0.25">
      <c r="A184" s="1" t="s">
        <v>38</v>
      </c>
      <c r="B184" s="2" t="s">
        <v>6</v>
      </c>
      <c r="C184" s="2" t="s">
        <v>8</v>
      </c>
      <c r="D184" s="2" t="s">
        <v>4</v>
      </c>
      <c r="E184" s="3">
        <v>3.3942857142857101</v>
      </c>
      <c r="F184" s="3">
        <v>2.3571428571428599</v>
      </c>
      <c r="G184" s="3">
        <v>4.9000000000000004</v>
      </c>
      <c r="H184" s="3">
        <f>VAR(E184/MAX(E184:F184), F184/MAX(E184:F184))</f>
        <v>4.6682098765431723E-2</v>
      </c>
      <c r="I184" s="3">
        <f>4/3 * 3.14 * E184*F184*F184</f>
        <v>78.9566274052479</v>
      </c>
    </row>
    <row r="185" spans="1:9" x14ac:dyDescent="0.25">
      <c r="A185" s="1" t="s">
        <v>40</v>
      </c>
      <c r="B185" s="2" t="s">
        <v>6</v>
      </c>
      <c r="C185" s="2" t="s">
        <v>8</v>
      </c>
      <c r="D185" s="2" t="s">
        <v>4</v>
      </c>
      <c r="E185" s="3">
        <v>2</v>
      </c>
      <c r="F185" s="3">
        <v>2.2999999999999998</v>
      </c>
      <c r="H185" s="3">
        <f>VAR(E185/MAX(E185:F185), F185/MAX(E185:F185))</f>
        <v>8.5066162570888362E-3</v>
      </c>
      <c r="I185" s="3">
        <f>4/3 * 3.14 * E185*F185*F185</f>
        <v>44.294933333333319</v>
      </c>
    </row>
    <row r="186" spans="1:9" x14ac:dyDescent="0.25">
      <c r="A186" s="1" t="s">
        <v>62</v>
      </c>
      <c r="B186" s="2" t="s">
        <v>6</v>
      </c>
      <c r="C186" s="2" t="s">
        <v>8</v>
      </c>
      <c r="D186" s="2" t="s">
        <v>4</v>
      </c>
      <c r="E186" s="3">
        <v>4.5999999999999996</v>
      </c>
      <c r="F186" s="3">
        <v>3.13</v>
      </c>
      <c r="G186" s="3">
        <v>4.7</v>
      </c>
      <c r="H186" s="3">
        <f>VAR(E186/MAX(E186:F186), F186/MAX(E186:F186))</f>
        <v>5.1060964083175842E-2</v>
      </c>
      <c r="I186" s="3">
        <f>4/3 * 3.14 * E186*F186*F186</f>
        <v>188.67523146666662</v>
      </c>
    </row>
    <row r="187" spans="1:9" x14ac:dyDescent="0.25">
      <c r="A187" s="1" t="s">
        <v>65</v>
      </c>
      <c r="B187" s="2" t="s">
        <v>6</v>
      </c>
      <c r="C187" s="2" t="s">
        <v>8</v>
      </c>
      <c r="D187" s="2" t="s">
        <v>4</v>
      </c>
      <c r="E187" s="3">
        <v>1</v>
      </c>
      <c r="F187" s="3">
        <v>1</v>
      </c>
      <c r="H187" s="3">
        <f>VAR(E187/MAX(E187:F187), F187/MAX(E187:F187))</f>
        <v>0</v>
      </c>
      <c r="I187" s="3">
        <f>4/3 * 3.14 * E187*F187*F187</f>
        <v>4.1866666666666665</v>
      </c>
    </row>
    <row r="188" spans="1:9" x14ac:dyDescent="0.25">
      <c r="A188" s="1" t="s">
        <v>67</v>
      </c>
      <c r="B188" s="2" t="s">
        <v>6</v>
      </c>
      <c r="C188" s="2" t="s">
        <v>8</v>
      </c>
      <c r="D188" s="2" t="s">
        <v>4</v>
      </c>
      <c r="E188" s="3">
        <v>3.27285714285714</v>
      </c>
      <c r="F188" s="3">
        <v>2.2771428571428598</v>
      </c>
      <c r="G188" s="3">
        <v>3.3333333333333299</v>
      </c>
      <c r="H188" s="3">
        <f>VAR(E188/MAX(E188:F188), F188/MAX(E188:F188))</f>
        <v>4.6279150895243593E-2</v>
      </c>
      <c r="I188" s="3">
        <f>4/3 * 3.14 * E188*F188*F188</f>
        <v>71.051947780913608</v>
      </c>
    </row>
    <row r="189" spans="1:9" x14ac:dyDescent="0.25">
      <c r="A189" s="1" t="s">
        <v>82</v>
      </c>
      <c r="B189" s="2" t="s">
        <v>6</v>
      </c>
      <c r="C189" s="2" t="s">
        <v>8</v>
      </c>
      <c r="D189" s="2" t="s">
        <v>4</v>
      </c>
      <c r="E189" s="3">
        <v>2.35</v>
      </c>
      <c r="F189" s="3">
        <v>1.11666666666667</v>
      </c>
      <c r="H189" s="3">
        <f>VAR(E189/MAX(E189:F189), F189/MAX(E189:F189))</f>
        <v>0.13771943061214142</v>
      </c>
      <c r="I189" s="3">
        <f>4/3 * 3.14 * E189*F189*F189</f>
        <v>12.268270740740814</v>
      </c>
    </row>
    <row r="190" spans="1:9" x14ac:dyDescent="0.25">
      <c r="A190" s="1" t="s">
        <v>105</v>
      </c>
      <c r="B190" s="2" t="s">
        <v>6</v>
      </c>
      <c r="C190" s="2" t="s">
        <v>8</v>
      </c>
      <c r="D190" s="2" t="s">
        <v>4</v>
      </c>
      <c r="E190" s="3">
        <v>3.36</v>
      </c>
      <c r="F190" s="3">
        <v>2.5819999999999999</v>
      </c>
      <c r="G190" s="3">
        <v>8.9</v>
      </c>
      <c r="H190" s="3">
        <f>VAR(E190/MAX(E190:F190), F190/MAX(E190:F190))</f>
        <v>2.6807149943310682E-2</v>
      </c>
      <c r="I190" s="3">
        <f>4/3 * 3.14 * E190*F190*F190</f>
        <v>93.782139852799986</v>
      </c>
    </row>
    <row r="191" spans="1:9" x14ac:dyDescent="0.25">
      <c r="A191" s="1" t="s">
        <v>107</v>
      </c>
      <c r="B191" s="2" t="s">
        <v>6</v>
      </c>
      <c r="C191" s="2" t="s">
        <v>8</v>
      </c>
      <c r="D191" s="2" t="s">
        <v>4</v>
      </c>
      <c r="E191" s="3">
        <v>3.41636363636364</v>
      </c>
      <c r="F191" s="3">
        <v>2.2781818181818201</v>
      </c>
      <c r="G191" s="3">
        <v>11.133333333333301</v>
      </c>
      <c r="H191" s="3">
        <f>VAR(E191/MAX(E191:F191), F191/MAX(E191:F191))</f>
        <v>5.5496438182188745E-2</v>
      </c>
      <c r="I191" s="3">
        <f>4/3 * 3.14 * E191*F191*F191</f>
        <v>74.235089811490312</v>
      </c>
    </row>
    <row r="192" spans="1:9" x14ac:dyDescent="0.25">
      <c r="A192" s="1" t="s">
        <v>113</v>
      </c>
      <c r="B192" s="2" t="s">
        <v>6</v>
      </c>
      <c r="C192" s="2" t="s">
        <v>8</v>
      </c>
      <c r="D192" s="2" t="s">
        <v>4</v>
      </c>
      <c r="E192" s="3">
        <v>3.21166666666667</v>
      </c>
      <c r="F192" s="3">
        <v>2.37333333333333</v>
      </c>
      <c r="G192" s="3">
        <v>4.3333333333333304</v>
      </c>
      <c r="H192" s="3">
        <f>VAR(E192/MAX(E192:F192), F192/MAX(E192:F192))</f>
        <v>3.4067678894060149E-2</v>
      </c>
      <c r="I192" s="3">
        <f>4/3 * 3.14 * E192*F192*F192</f>
        <v>75.738434970864049</v>
      </c>
    </row>
    <row r="193" spans="1:9" x14ac:dyDescent="0.25">
      <c r="A193" s="1" t="s">
        <v>119</v>
      </c>
      <c r="B193" s="2" t="s">
        <v>6</v>
      </c>
      <c r="C193" s="2" t="s">
        <v>8</v>
      </c>
      <c r="D193" s="2" t="s">
        <v>4</v>
      </c>
      <c r="E193" s="3">
        <v>3</v>
      </c>
    </row>
    <row r="194" spans="1:9" x14ac:dyDescent="0.25">
      <c r="A194" s="1" t="s">
        <v>121</v>
      </c>
      <c r="B194" s="2" t="s">
        <v>6</v>
      </c>
      <c r="C194" s="2" t="s">
        <v>8</v>
      </c>
      <c r="D194" s="2" t="s">
        <v>4</v>
      </c>
      <c r="E194" s="3">
        <v>3.39</v>
      </c>
      <c r="F194" s="3">
        <v>2.37</v>
      </c>
      <c r="G194" s="3">
        <v>1.75</v>
      </c>
      <c r="H194" s="3">
        <f>VAR(E194/MAX(E194:F194), F194/MAX(E194:F194))</f>
        <v>4.5265878299005413E-2</v>
      </c>
      <c r="I194" s="3">
        <f>4/3 * 3.14 * E194*F194*F194</f>
        <v>79.719538319999998</v>
      </c>
    </row>
    <row r="195" spans="1:9" x14ac:dyDescent="0.25">
      <c r="A195" s="1" t="s">
        <v>125</v>
      </c>
      <c r="B195" s="2" t="s">
        <v>6</v>
      </c>
      <c r="C195" s="2" t="s">
        <v>8</v>
      </c>
      <c r="D195" s="2" t="s">
        <v>4</v>
      </c>
      <c r="E195" s="3">
        <v>3.036</v>
      </c>
      <c r="F195" s="3">
        <v>2.254</v>
      </c>
      <c r="G195" s="3">
        <v>5.8</v>
      </c>
      <c r="H195" s="3">
        <f>VAR(E195/MAX(E195:F195), F195/MAX(E195:F195))</f>
        <v>3.3172635445362753E-2</v>
      </c>
      <c r="I195" s="3">
        <f>4/3 * 3.14 * E195*F195*F195</f>
        <v>64.577016331519999</v>
      </c>
    </row>
    <row r="196" spans="1:9" x14ac:dyDescent="0.25">
      <c r="A196" s="1" t="s">
        <v>139</v>
      </c>
      <c r="B196" s="2" t="s">
        <v>6</v>
      </c>
      <c r="C196" s="2" t="s">
        <v>8</v>
      </c>
      <c r="D196" s="2" t="s">
        <v>4</v>
      </c>
      <c r="E196" s="3">
        <v>3.3518181818181798</v>
      </c>
      <c r="F196" s="3">
        <v>2.4972727272727302</v>
      </c>
      <c r="G196" s="3">
        <v>3.45</v>
      </c>
      <c r="H196" s="3">
        <f>VAR(E196/MAX(E196:F196), F196/MAX(E196:F196))</f>
        <v>3.2499706303581677E-2</v>
      </c>
      <c r="I196" s="3">
        <f>4/3 * 3.14 * E196*F196*F196</f>
        <v>87.514655121082043</v>
      </c>
    </row>
    <row r="197" spans="1:9" x14ac:dyDescent="0.25">
      <c r="A197" s="1" t="s">
        <v>141</v>
      </c>
      <c r="B197" s="2" t="s">
        <v>6</v>
      </c>
      <c r="C197" s="2" t="s">
        <v>8</v>
      </c>
      <c r="D197" s="2" t="s">
        <v>4</v>
      </c>
      <c r="E197" s="3">
        <v>2.4</v>
      </c>
      <c r="F197" s="3">
        <v>1.74</v>
      </c>
      <c r="H197" s="3">
        <f>VAR(E197/MAX(E197:F197), F197/MAX(E197:F197))</f>
        <v>3.7812499999999805E-2</v>
      </c>
      <c r="I197" s="3">
        <f>4/3 * 3.14 * E197*F197*F197</f>
        <v>30.421324799999997</v>
      </c>
    </row>
    <row r="198" spans="1:9" x14ac:dyDescent="0.25">
      <c r="A198" s="1" t="s">
        <v>155</v>
      </c>
      <c r="B198" s="2" t="s">
        <v>6</v>
      </c>
      <c r="C198" s="2" t="s">
        <v>8</v>
      </c>
      <c r="D198" s="2" t="s">
        <v>4</v>
      </c>
      <c r="E198" s="3">
        <v>2.3125</v>
      </c>
      <c r="F198" s="3">
        <v>1.65</v>
      </c>
      <c r="H198" s="3">
        <f>VAR(E198/MAX(E198:F198), F198/MAX(E198:F198))</f>
        <v>4.1037253469686119E-2</v>
      </c>
      <c r="I198" s="3">
        <f>4/3 * 3.14 * E198*F198*F198</f>
        <v>26.358337499999998</v>
      </c>
    </row>
    <row r="199" spans="1:9" x14ac:dyDescent="0.25">
      <c r="A199" s="1" t="s">
        <v>181</v>
      </c>
      <c r="B199" s="2" t="s">
        <v>6</v>
      </c>
      <c r="C199" s="2" t="s">
        <v>8</v>
      </c>
      <c r="D199" s="2" t="s">
        <v>4</v>
      </c>
      <c r="E199" s="3">
        <v>2.5</v>
      </c>
    </row>
    <row r="200" spans="1:9" x14ac:dyDescent="0.25">
      <c r="A200" s="1" t="s">
        <v>187</v>
      </c>
      <c r="B200" s="2" t="s">
        <v>6</v>
      </c>
      <c r="C200" s="2" t="s">
        <v>8</v>
      </c>
      <c r="D200" s="2" t="s">
        <v>4</v>
      </c>
      <c r="E200" s="3">
        <v>3</v>
      </c>
    </row>
    <row r="201" spans="1:9" x14ac:dyDescent="0.25">
      <c r="A201" s="1" t="s">
        <v>192</v>
      </c>
      <c r="B201" s="2" t="s">
        <v>6</v>
      </c>
      <c r="C201" s="2" t="s">
        <v>8</v>
      </c>
      <c r="D201" s="2" t="s">
        <v>4</v>
      </c>
      <c r="E201" s="3">
        <v>4.4580000000000002</v>
      </c>
      <c r="F201" s="3">
        <v>3.2650000000000001</v>
      </c>
      <c r="G201" s="3">
        <v>33.700000000000003</v>
      </c>
      <c r="H201" s="3">
        <f>VAR(E201/MAX(E201:F201), F201/MAX(E201:F201))</f>
        <v>3.5807233093841484E-2</v>
      </c>
      <c r="I201" s="3">
        <f>4/3 * 3.14 * E201*F201*F201</f>
        <v>198.96414503599999</v>
      </c>
    </row>
    <row r="202" spans="1:9" x14ac:dyDescent="0.25">
      <c r="A202" s="1" t="s">
        <v>196</v>
      </c>
      <c r="B202" s="2" t="s">
        <v>6</v>
      </c>
      <c r="C202" s="2" t="s">
        <v>8</v>
      </c>
      <c r="D202" s="2" t="s">
        <v>4</v>
      </c>
      <c r="E202" s="3">
        <v>3.5049999999999999</v>
      </c>
      <c r="F202" s="3">
        <v>2.6619999999999999</v>
      </c>
      <c r="G202" s="3">
        <v>12.75</v>
      </c>
      <c r="H202" s="3">
        <f>VAR(E202/MAX(E202:F202), F202/MAX(E202:F202))</f>
        <v>2.8923384364297311E-2</v>
      </c>
      <c r="I202" s="3">
        <f>4/3 * 3.14 * E202*F202*F202</f>
        <v>103.98543412106666</v>
      </c>
    </row>
    <row r="203" spans="1:9" x14ac:dyDescent="0.25">
      <c r="A203" s="1" t="s">
        <v>201</v>
      </c>
      <c r="B203" s="2" t="s">
        <v>6</v>
      </c>
      <c r="C203" s="2" t="s">
        <v>8</v>
      </c>
      <c r="D203" s="2" t="s">
        <v>4</v>
      </c>
      <c r="E203" s="3">
        <v>2.97</v>
      </c>
      <c r="F203" s="3">
        <v>1.99</v>
      </c>
      <c r="H203" s="3">
        <f>VAR(E203/MAX(E203:F203), F203/MAX(E203:F203))</f>
        <v>5.4438889455724615E-2</v>
      </c>
      <c r="I203" s="3">
        <f>4/3 * 3.14 * E203*F203*F203</f>
        <v>49.241467440000001</v>
      </c>
    </row>
    <row r="204" spans="1:9" x14ac:dyDescent="0.25">
      <c r="A204" s="1" t="s">
        <v>233</v>
      </c>
      <c r="B204" s="2" t="s">
        <v>6</v>
      </c>
      <c r="C204" s="2" t="s">
        <v>8</v>
      </c>
      <c r="D204" s="2" t="s">
        <v>4</v>
      </c>
      <c r="E204" s="3">
        <v>3.78</v>
      </c>
      <c r="F204" s="3">
        <v>2.27</v>
      </c>
      <c r="H204" s="3">
        <f>VAR(E204/MAX(E204:F204), F204/MAX(E204:F204))</f>
        <v>7.9788499762044829E-2</v>
      </c>
      <c r="I204" s="3">
        <f>4/3 * 3.14 * E204*F204*F204</f>
        <v>81.547734239999983</v>
      </c>
    </row>
    <row r="205" spans="1:9" x14ac:dyDescent="0.25">
      <c r="A205" s="1" t="s">
        <v>238</v>
      </c>
      <c r="B205" s="2" t="s">
        <v>6</v>
      </c>
      <c r="C205" s="2" t="s">
        <v>8</v>
      </c>
      <c r="D205" s="2" t="s">
        <v>4</v>
      </c>
      <c r="E205" s="3">
        <v>2.96</v>
      </c>
      <c r="F205" s="3">
        <v>2.12</v>
      </c>
      <c r="H205" s="3">
        <f>VAR(E205/MAX(E205:F205), F205/MAX(E205:F205))</f>
        <v>4.0266617969320739E-2</v>
      </c>
      <c r="I205" s="3">
        <f>4/3 * 3.14 * E205*F205*F205</f>
        <v>55.697001813333337</v>
      </c>
    </row>
    <row r="206" spans="1:9" x14ac:dyDescent="0.25">
      <c r="A206" s="1" t="s">
        <v>50</v>
      </c>
      <c r="B206" s="2" t="s">
        <v>6</v>
      </c>
    </row>
    <row r="207" spans="1:9" x14ac:dyDescent="0.25">
      <c r="A207" s="1" t="s">
        <v>69</v>
      </c>
      <c r="B207" s="2" t="s">
        <v>6</v>
      </c>
    </row>
    <row r="208" spans="1:9" x14ac:dyDescent="0.25">
      <c r="A208" s="1" t="s">
        <v>99</v>
      </c>
      <c r="B208" s="2" t="s">
        <v>6</v>
      </c>
    </row>
    <row r="209" spans="1:9" x14ac:dyDescent="0.25">
      <c r="A209" s="1" t="s">
        <v>115</v>
      </c>
      <c r="B209" s="2" t="s">
        <v>6</v>
      </c>
    </row>
    <row r="210" spans="1:9" x14ac:dyDescent="0.25">
      <c r="A210" s="1" t="s">
        <v>117</v>
      </c>
      <c r="B210" s="2" t="s">
        <v>6</v>
      </c>
    </row>
    <row r="211" spans="1:9" x14ac:dyDescent="0.25">
      <c r="A211" s="1" t="s">
        <v>149</v>
      </c>
      <c r="B211" s="2" t="s">
        <v>6</v>
      </c>
    </row>
    <row r="212" spans="1:9" x14ac:dyDescent="0.25">
      <c r="A212" s="1" t="s">
        <v>150</v>
      </c>
      <c r="B212" s="2" t="s">
        <v>6</v>
      </c>
    </row>
    <row r="213" spans="1:9" x14ac:dyDescent="0.25">
      <c r="A213" s="1" t="s">
        <v>176</v>
      </c>
      <c r="B213" s="2" t="s">
        <v>6</v>
      </c>
    </row>
    <row r="214" spans="1:9" x14ac:dyDescent="0.25">
      <c r="A214" s="1" t="s">
        <v>180</v>
      </c>
      <c r="B214" s="2" t="s">
        <v>6</v>
      </c>
    </row>
    <row r="215" spans="1:9" x14ac:dyDescent="0.25">
      <c r="A215" s="1" t="s">
        <v>189</v>
      </c>
      <c r="B215" s="2" t="s">
        <v>6</v>
      </c>
    </row>
    <row r="216" spans="1:9" x14ac:dyDescent="0.25">
      <c r="A216" s="1" t="s">
        <v>203</v>
      </c>
      <c r="B216" s="2" t="s">
        <v>6</v>
      </c>
    </row>
    <row r="217" spans="1:9" x14ac:dyDescent="0.25">
      <c r="A217" s="1" t="s">
        <v>207</v>
      </c>
      <c r="B217" s="2" t="s">
        <v>6</v>
      </c>
    </row>
    <row r="218" spans="1:9" x14ac:dyDescent="0.25">
      <c r="A218" s="1" t="s">
        <v>228</v>
      </c>
      <c r="B218" s="2" t="s">
        <v>6</v>
      </c>
    </row>
    <row r="219" spans="1:9" x14ac:dyDescent="0.25">
      <c r="A219" s="1" t="s">
        <v>58</v>
      </c>
      <c r="B219" s="2" t="s">
        <v>3</v>
      </c>
      <c r="C219" s="2" t="s">
        <v>4</v>
      </c>
      <c r="D219" s="2" t="s">
        <v>8</v>
      </c>
      <c r="E219" s="3">
        <v>2.61</v>
      </c>
      <c r="F219" s="3">
        <v>2.0960000000000001</v>
      </c>
      <c r="G219" s="3">
        <v>3.5</v>
      </c>
      <c r="H219" s="3">
        <f>VAR(E219/MAX(E219:F219), F219/MAX(E219:F219))</f>
        <v>1.9391670703600816E-2</v>
      </c>
      <c r="I219" s="3">
        <f>4/3 * 3.14 * E219*F219*F219</f>
        <v>48.005549875200003</v>
      </c>
    </row>
    <row r="220" spans="1:9" x14ac:dyDescent="0.25">
      <c r="A220" s="1" t="s">
        <v>79</v>
      </c>
      <c r="B220" s="2" t="s">
        <v>3</v>
      </c>
      <c r="C220" s="2" t="s">
        <v>4</v>
      </c>
      <c r="D220" s="2" t="s">
        <v>8</v>
      </c>
      <c r="E220" s="3">
        <v>1.53571428571429</v>
      </c>
      <c r="F220" s="3">
        <v>1.1599999999999999</v>
      </c>
      <c r="G220" s="3">
        <v>0.4</v>
      </c>
      <c r="H220" s="3">
        <f>VAR(E220/MAX(E220:F220), F220/MAX(E220:F220))</f>
        <v>2.9927095727420694E-2</v>
      </c>
      <c r="I220" s="3">
        <f>4/3 * 3.14 * E220*F220*F220</f>
        <v>8.6515672380952608</v>
      </c>
    </row>
    <row r="221" spans="1:9" x14ac:dyDescent="0.25">
      <c r="A221" s="1" t="s">
        <v>88</v>
      </c>
      <c r="B221" s="2" t="s">
        <v>3</v>
      </c>
      <c r="C221" s="2" t="s">
        <v>4</v>
      </c>
      <c r="D221" s="2" t="s">
        <v>8</v>
      </c>
      <c r="E221" s="3">
        <v>2.5514285714285698</v>
      </c>
      <c r="F221" s="3">
        <v>2.4414285714285699</v>
      </c>
      <c r="G221" s="3">
        <v>2.1</v>
      </c>
      <c r="H221" s="3">
        <f>VAR(E221/MAX(E221:F221), F221/MAX(E221:F221))</f>
        <v>9.2936977787921361E-4</v>
      </c>
      <c r="I221" s="3">
        <f>4/3 * 3.14 * E221*F221*F221</f>
        <v>63.670732265267127</v>
      </c>
    </row>
    <row r="222" spans="1:9" x14ac:dyDescent="0.25">
      <c r="A222" s="1" t="s">
        <v>92</v>
      </c>
      <c r="B222" s="2" t="s">
        <v>3</v>
      </c>
      <c r="C222" s="2" t="s">
        <v>4</v>
      </c>
      <c r="D222" s="2" t="s">
        <v>8</v>
      </c>
      <c r="E222" s="3">
        <v>2.1800000000000002</v>
      </c>
      <c r="F222" s="3">
        <v>1.65</v>
      </c>
      <c r="H222" s="3">
        <f>VAR(E222/MAX(E222:F222), F222/MAX(E222:F222))</f>
        <v>2.9553488763572222E-2</v>
      </c>
      <c r="I222" s="3">
        <f>4/3 * 3.14 * E222*F222*F222</f>
        <v>24.848075999999999</v>
      </c>
    </row>
    <row r="223" spans="1:9" x14ac:dyDescent="0.25">
      <c r="A223" s="1" t="s">
        <v>95</v>
      </c>
      <c r="B223" s="2" t="s">
        <v>3</v>
      </c>
      <c r="C223" s="2" t="s">
        <v>4</v>
      </c>
      <c r="D223" s="2" t="s">
        <v>8</v>
      </c>
      <c r="E223" s="3">
        <v>1.75</v>
      </c>
    </row>
    <row r="224" spans="1:9" x14ac:dyDescent="0.25">
      <c r="A224" s="1" t="s">
        <v>108</v>
      </c>
      <c r="B224" s="2" t="s">
        <v>3</v>
      </c>
      <c r="C224" s="2" t="s">
        <v>4</v>
      </c>
      <c r="D224" s="2" t="s">
        <v>8</v>
      </c>
      <c r="E224" s="3">
        <v>1.5633333333333299</v>
      </c>
      <c r="F224" s="3">
        <v>1.0266666666666699</v>
      </c>
      <c r="H224" s="3">
        <f>VAR(E224/MAX(E224:F224), F224/MAX(E224:F224))</f>
        <v>5.8921808866115866E-2</v>
      </c>
      <c r="I224" s="3">
        <f>4/3 * 3.14 * E224*F224*F224</f>
        <v>6.8988848513580541</v>
      </c>
    </row>
    <row r="225" spans="1:9" x14ac:dyDescent="0.25">
      <c r="A225" s="1" t="s">
        <v>153</v>
      </c>
      <c r="B225" s="2" t="s">
        <v>3</v>
      </c>
      <c r="C225" s="2" t="s">
        <v>4</v>
      </c>
      <c r="D225" s="2" t="s">
        <v>8</v>
      </c>
      <c r="E225" s="3">
        <v>4.1849999999999996</v>
      </c>
      <c r="F225" s="3">
        <v>3.66</v>
      </c>
      <c r="G225" s="3">
        <v>16</v>
      </c>
      <c r="H225" s="3">
        <f>VAR(E225/MAX(E225:F225), F225/MAX(E225:F225))</f>
        <v>7.8686039490756619E-3</v>
      </c>
      <c r="I225" s="3">
        <f>4/3 * 3.14 * E225*F225*F225</f>
        <v>234.70698671999997</v>
      </c>
    </row>
    <row r="226" spans="1:9" x14ac:dyDescent="0.25">
      <c r="A226" s="1" t="s">
        <v>154</v>
      </c>
      <c r="B226" s="2" t="s">
        <v>3</v>
      </c>
      <c r="C226" s="2" t="s">
        <v>4</v>
      </c>
      <c r="D226" s="2" t="s">
        <v>8</v>
      </c>
      <c r="E226" s="3">
        <v>1.01</v>
      </c>
      <c r="F226" s="3">
        <v>0.71</v>
      </c>
      <c r="G226" s="3">
        <v>0.23749999999999999</v>
      </c>
      <c r="H226" s="3">
        <f>VAR(E226/MAX(E226:F226), F226/MAX(E226:F226))</f>
        <v>4.4113322223311435E-2</v>
      </c>
      <c r="I226" s="3">
        <f>4/3 * 3.14 * E226*F226*F226</f>
        <v>2.1316036533333329</v>
      </c>
    </row>
    <row r="227" spans="1:9" x14ac:dyDescent="0.25">
      <c r="A227" s="1" t="s">
        <v>159</v>
      </c>
      <c r="B227" s="2" t="s">
        <v>3</v>
      </c>
      <c r="C227" s="2" t="s">
        <v>4</v>
      </c>
      <c r="D227" s="2" t="s">
        <v>8</v>
      </c>
      <c r="E227" s="3">
        <v>2.2149999999999999</v>
      </c>
      <c r="F227" s="3">
        <v>1.7649999999999999</v>
      </c>
      <c r="G227" s="3">
        <v>1.7666666666666699</v>
      </c>
      <c r="H227" s="3">
        <f>VAR(E227/MAX(E227:F227), F227/MAX(E227:F227))</f>
        <v>2.0637047832090971E-2</v>
      </c>
      <c r="I227" s="3">
        <f>4/3 * 3.14 * E227*F227*F227</f>
        <v>28.888935196666658</v>
      </c>
    </row>
    <row r="228" spans="1:9" x14ac:dyDescent="0.25">
      <c r="A228" s="1" t="s">
        <v>163</v>
      </c>
      <c r="B228" s="2" t="s">
        <v>3</v>
      </c>
      <c r="C228" s="2" t="s">
        <v>4</v>
      </c>
      <c r="D228" s="2" t="s">
        <v>8</v>
      </c>
      <c r="E228" s="3">
        <v>1.2466666666666699</v>
      </c>
      <c r="F228" s="3">
        <v>0.80333333333333301</v>
      </c>
      <c r="G228" s="3">
        <v>0.2</v>
      </c>
      <c r="H228" s="3">
        <f>VAR(E228/MAX(E228:F228), F228/MAX(E228:F228))</f>
        <v>6.3231004604078711E-2</v>
      </c>
      <c r="I228" s="3">
        <f>4/3 * 3.14 * E228*F228*F228</f>
        <v>3.3682964523456853</v>
      </c>
    </row>
    <row r="229" spans="1:9" x14ac:dyDescent="0.25">
      <c r="A229" s="1" t="s">
        <v>170</v>
      </c>
      <c r="B229" s="2" t="s">
        <v>3</v>
      </c>
      <c r="C229" s="2" t="s">
        <v>4</v>
      </c>
      <c r="D229" s="2" t="s">
        <v>8</v>
      </c>
      <c r="E229" s="3">
        <v>1.3944444444444399</v>
      </c>
      <c r="F229" s="3">
        <v>0.95</v>
      </c>
      <c r="G229" s="3">
        <v>0.25</v>
      </c>
      <c r="H229" s="3">
        <f>VAR(E229/MAX(E229:F229), F229/MAX(E229:F229))</f>
        <v>5.0792844558022576E-2</v>
      </c>
      <c r="I229" s="3">
        <f>4/3 * 3.14 * E229*F229*F229</f>
        <v>5.2688618518518346</v>
      </c>
    </row>
    <row r="230" spans="1:9" x14ac:dyDescent="0.25">
      <c r="A230" s="1" t="s">
        <v>183</v>
      </c>
      <c r="B230" s="2" t="s">
        <v>3</v>
      </c>
      <c r="C230" s="2" t="s">
        <v>4</v>
      </c>
      <c r="D230" s="2" t="s">
        <v>8</v>
      </c>
      <c r="E230" s="3">
        <v>2.16</v>
      </c>
      <c r="F230" s="3">
        <v>1.53</v>
      </c>
      <c r="H230" s="3">
        <f>VAR(E230/MAX(E230:F230), F230/MAX(E230:F230))</f>
        <v>4.2534722222222321E-2</v>
      </c>
      <c r="I230" s="3">
        <f>4/3 * 3.14 * E230*F230*F230</f>
        <v>21.169226880000004</v>
      </c>
    </row>
    <row r="231" spans="1:9" x14ac:dyDescent="0.25">
      <c r="A231" s="1" t="s">
        <v>213</v>
      </c>
      <c r="B231" s="2" t="s">
        <v>3</v>
      </c>
      <c r="C231" s="2" t="s">
        <v>4</v>
      </c>
      <c r="D231" s="2" t="s">
        <v>8</v>
      </c>
      <c r="E231" s="3">
        <v>1</v>
      </c>
      <c r="F231" s="3">
        <v>0.8</v>
      </c>
      <c r="H231" s="3">
        <f>VAR(E231/MAX(E231:F231), F231/MAX(E231:F231))</f>
        <v>2.0000000000000018E-2</v>
      </c>
      <c r="I231" s="3">
        <f>4/3 * 3.14 * E231*F231*F231</f>
        <v>2.6794666666666669</v>
      </c>
    </row>
    <row r="232" spans="1:9" x14ac:dyDescent="0.25">
      <c r="A232" s="1" t="s">
        <v>226</v>
      </c>
      <c r="B232" s="2" t="s">
        <v>3</v>
      </c>
      <c r="C232" s="2" t="s">
        <v>4</v>
      </c>
      <c r="D232" s="2" t="s">
        <v>8</v>
      </c>
      <c r="E232" s="3">
        <v>1.5833333333333299</v>
      </c>
      <c r="F232" s="3">
        <v>1.32666666666667</v>
      </c>
      <c r="G232" s="3">
        <v>0.8</v>
      </c>
      <c r="H232" s="3">
        <f>VAR(E232/MAX(E232:F232), F232/MAX(E232:F232))</f>
        <v>1.3139058171744523E-2</v>
      </c>
      <c r="I232" s="3">
        <f>4/3 * 3.14 * E232*F232*F232</f>
        <v>11.667139061728427</v>
      </c>
    </row>
    <row r="233" spans="1:9" x14ac:dyDescent="0.25">
      <c r="A233" s="1" t="s">
        <v>235</v>
      </c>
      <c r="B233" s="2" t="s">
        <v>3</v>
      </c>
      <c r="C233" s="2" t="s">
        <v>4</v>
      </c>
      <c r="D233" s="2" t="s">
        <v>8</v>
      </c>
      <c r="E233" s="3">
        <v>3.9922222222222201</v>
      </c>
      <c r="F233" s="3">
        <v>3.0177777777777801</v>
      </c>
      <c r="G233" s="3">
        <v>14.5666666666667</v>
      </c>
      <c r="H233" s="3">
        <f>VAR(E233/MAX(E233:F233), F233/MAX(E233:F233))</f>
        <v>2.9788919900145983E-2</v>
      </c>
      <c r="I233" s="3">
        <f>4/3 * 3.14 * E233*F233*F233</f>
        <v>152.21505354388677</v>
      </c>
    </row>
    <row r="234" spans="1:9" x14ac:dyDescent="0.25">
      <c r="A234" s="1" t="s">
        <v>236</v>
      </c>
      <c r="B234" s="2" t="s">
        <v>3</v>
      </c>
      <c r="C234" s="2" t="s">
        <v>4</v>
      </c>
      <c r="D234" s="2" t="s">
        <v>8</v>
      </c>
      <c r="E234" s="3">
        <v>1.42</v>
      </c>
      <c r="F234" s="3">
        <v>1.1100000000000001</v>
      </c>
      <c r="G234" s="3">
        <v>0.25</v>
      </c>
      <c r="H234" s="3">
        <f>VAR(E234/MAX(E234:F234), F234/MAX(E234:F234))</f>
        <v>2.3829597302122529E-2</v>
      </c>
      <c r="I234" s="3">
        <f>4/3 * 3.14 * E234*F234*F234</f>
        <v>7.3249166400000005</v>
      </c>
    </row>
    <row r="235" spans="1:9" x14ac:dyDescent="0.25">
      <c r="A235" s="1" t="s">
        <v>239</v>
      </c>
      <c r="B235" s="2" t="s">
        <v>3</v>
      </c>
      <c r="C235" s="2" t="s">
        <v>4</v>
      </c>
      <c r="D235" s="2" t="s">
        <v>8</v>
      </c>
      <c r="E235" s="3">
        <v>2.72</v>
      </c>
      <c r="F235" s="3">
        <v>1.89</v>
      </c>
      <c r="G235" s="3">
        <v>4.0999999999999996</v>
      </c>
      <c r="H235" s="3">
        <f>VAR(E235/MAX(E235:F235), F235/MAX(E235:F235))</f>
        <v>4.6557363754325065E-2</v>
      </c>
      <c r="I235" s="3">
        <f>4/3 * 3.14 * E235*F235*F235</f>
        <v>40.678122239999993</v>
      </c>
    </row>
    <row r="236" spans="1:9" x14ac:dyDescent="0.25">
      <c r="A236" s="1" t="s">
        <v>2</v>
      </c>
      <c r="B236" s="2" t="s">
        <v>3</v>
      </c>
      <c r="C236" s="2" t="s">
        <v>4</v>
      </c>
      <c r="D236" s="2" t="s">
        <v>4</v>
      </c>
      <c r="E236" s="3">
        <v>4.75</v>
      </c>
      <c r="F236" s="3">
        <v>3.08</v>
      </c>
      <c r="H236" s="3">
        <f>VAR(E236/MAX(E236:F236), F236/MAX(E236:F236))</f>
        <v>6.1803878116343469E-2</v>
      </c>
      <c r="I236" s="3">
        <f>4/3 * 3.14 * E236 * F236 * F236</f>
        <v>188.65287466666669</v>
      </c>
    </row>
    <row r="237" spans="1:9" x14ac:dyDescent="0.25">
      <c r="A237" s="1" t="s">
        <v>49</v>
      </c>
      <c r="B237" s="2" t="s">
        <v>3</v>
      </c>
      <c r="C237" s="2" t="s">
        <v>4</v>
      </c>
      <c r="D237" s="2" t="s">
        <v>4</v>
      </c>
      <c r="E237" s="3">
        <v>2.1933333333333298</v>
      </c>
      <c r="F237" s="3">
        <v>1.6566666666666701</v>
      </c>
      <c r="H237" s="3">
        <f>VAR(E237/MAX(E237:F237), F237/MAX(E237:F237))</f>
        <v>2.9934359438659408E-2</v>
      </c>
      <c r="I237" s="3">
        <f>4/3 * 3.14 * E237*F237*F237</f>
        <v>25.202480744691421</v>
      </c>
    </row>
    <row r="238" spans="1:9" x14ac:dyDescent="0.25">
      <c r="A238" s="1" t="s">
        <v>81</v>
      </c>
      <c r="B238" s="2" t="s">
        <v>3</v>
      </c>
      <c r="C238" s="2" t="s">
        <v>4</v>
      </c>
      <c r="D238" s="2" t="s">
        <v>4</v>
      </c>
      <c r="E238" s="3">
        <v>4</v>
      </c>
      <c r="F238" s="3">
        <v>4</v>
      </c>
      <c r="H238" s="3">
        <f>VAR(E238/MAX(E238:F238), F238/MAX(E238:F238))</f>
        <v>0</v>
      </c>
      <c r="I238" s="3">
        <f>4/3 * 3.14 * E238*F238*F238</f>
        <v>267.94666666666666</v>
      </c>
    </row>
    <row r="239" spans="1:9" x14ac:dyDescent="0.25">
      <c r="A239" s="1" t="s">
        <v>140</v>
      </c>
      <c r="B239" s="2" t="s">
        <v>3</v>
      </c>
      <c r="C239" s="2" t="s">
        <v>4</v>
      </c>
      <c r="D239" s="2" t="s">
        <v>4</v>
      </c>
      <c r="E239" s="3">
        <v>2.0642857142857101</v>
      </c>
      <c r="F239" s="3">
        <v>1.53142857142857</v>
      </c>
      <c r="H239" s="3">
        <f>VAR(E239/MAX(E239:F239), F239/MAX(E239:F239))</f>
        <v>3.331593251996523E-2</v>
      </c>
      <c r="I239" s="3">
        <f>4/3 * 3.14 * E239*F239*F239</f>
        <v>20.268970119339084</v>
      </c>
    </row>
    <row r="240" spans="1:9" x14ac:dyDescent="0.25">
      <c r="A240" s="1" t="s">
        <v>165</v>
      </c>
      <c r="B240" s="2" t="s">
        <v>3</v>
      </c>
      <c r="C240" s="2" t="s">
        <v>4</v>
      </c>
      <c r="D240" s="2" t="s">
        <v>4</v>
      </c>
      <c r="E240" s="3">
        <v>2.5</v>
      </c>
    </row>
    <row r="241" spans="1:9" x14ac:dyDescent="0.25">
      <c r="A241" s="1" t="s">
        <v>204</v>
      </c>
      <c r="B241" s="2" t="s">
        <v>3</v>
      </c>
      <c r="C241" s="2" t="s">
        <v>4</v>
      </c>
      <c r="D241" s="2" t="s">
        <v>4</v>
      </c>
      <c r="E241" s="3">
        <v>2.44428571428571</v>
      </c>
      <c r="F241" s="3">
        <v>1.95428571428571</v>
      </c>
      <c r="G241" s="3">
        <v>1.55</v>
      </c>
      <c r="H241" s="3">
        <f>VAR(E241/MAX(E241:F241), F241/MAX(E241:F241))</f>
        <v>2.0093621873250145E-2</v>
      </c>
      <c r="I241" s="3">
        <f>4/3 * 3.14 * E241*F241*F241</f>
        <v>39.083771805480808</v>
      </c>
    </row>
  </sheetData>
  <autoFilter ref="A1:I241" xr:uid="{00000000-0001-0000-0000-000000000000}">
    <sortState xmlns:xlrd2="http://schemas.microsoft.com/office/spreadsheetml/2017/richdata2" ref="A2:I241">
      <sortCondition ref="B1:B241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Javier Galán Díaz</cp:lastModifiedBy>
  <dcterms:created xsi:type="dcterms:W3CDTF">2015-06-05T18:19:34Z</dcterms:created>
  <dcterms:modified xsi:type="dcterms:W3CDTF">2023-12-14T08:59:42Z</dcterms:modified>
</cp:coreProperties>
</file>